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c636549c0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缺失总表" sheetId="1" r:id="R73b221d33c144c9b"/>
    <x:sheet xmlns:r="http://schemas.openxmlformats.org/officeDocument/2006/relationships" name="44屏覆盖" sheetId="2" r:id="Rcf3fa903b9cf48cc"/>
    <x:sheet xmlns:r="http://schemas.openxmlformats.org/officeDocument/2006/relationships" name="能力源码矩阵" sheetId="3" r:id="R47b49e826c894434"/>
    <x:sheet xmlns:r="http://schemas.openxmlformats.org/officeDocument/2006/relationships" name="15轮" sheetId="4" r:id="R07031c76b99246c9"/>
    <x:sheet xmlns:r="http://schemas.openxmlformats.org/officeDocument/2006/relationships" name="PDF全覆盖" sheetId="5" r:id="Rd1faef4665794107"/>
    <x:sheet xmlns:r="http://schemas.openxmlformats.org/officeDocument/2006/relationships" name="证据索引" sheetId="6" r:id="R76ac8686102d470e"/>
    <x:sheet xmlns:r="http://schemas.openxmlformats.org/officeDocument/2006/relationships" name="状态定义" sheetId="7" r:id="R4b76b4be7c4e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Microsoft YaHei"/>
    </x:font>
    <x:font>
      <x:sz val="10"/>
      <x:color rgb="FF1E2A44"/>
      <x:name val="Microsoft YaHei"/>
    </x:font>
    <x:font>
      <x:b/>
      <x:sz val="10"/>
      <x:name val="Microsoft YaHei"/>
    </x:font>
    <x:font>
      <x:b/>
      <x:sz val="10"/>
      <x:color rgb="FFFFFFFF"/>
      <x:name val="Microsoft YaHei"/>
    </x:font>
    <x:font>
      <x:sz val="9"/>
      <x:color rgb="FF172033"/>
      <x:name val="Microsoft YaHei"/>
    </x:font>
    <x:font>
      <x:b/>
      <x:sz val="11"/>
      <x:color rgb="FF8B1E1E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EF2F7"/>
      </x:patternFill>
    </x:fill>
    <x:fill>
      <x:patternFill patternType="solid">
        <x:fgColor rgb="FF4858A8"/>
      </x:patternFill>
    </x:fill>
    <x:fill>
      <x:patternFill patternType="solid">
        <x:fgColor rgb="FFFDE2E0"/>
      </x:patternFill>
    </x:fill>
    <x:fill>
      <x:patternFill patternType="solid">
        <x:fgColor rgb="FFFFF0C2"/>
      </x:patternFill>
    </x:fill>
    <x:fill>
      <x:patternFill patternType="solid">
        <x:fgColor rgb="FFE5F4EE"/>
      </x:patternFill>
    </x:fill>
    <x:fill>
      <x:patternFill patternType="solid">
        <x:fgColor rgb="FF1E2A44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8B1E1E"/>
      </x:font>
      <x:fill>
        <x:patternFill patternType="solid">
          <x:bgColor rgb="FFFDE2E0"/>
        </x:patternFill>
      </x:fill>
    </x:dxf>
    <x:dxf>
      <x:font>
        <x:b/>
        <x:color rgb="FF775A00"/>
      </x:font>
      <x:fill>
        <x:patternFill patternType="solid">
          <x:bgColor rgb="FFFFF0C2"/>
        </x:patternFill>
      </x:fill>
    </x:dxf>
    <x:dxf>
      <x:font>
        <x:b/>
        <x:color rgb="FF1C6545"/>
      </x:font>
      <x:fill>
        <x:patternFill patternType="solid">
          <x:bgColor rgb="FFE5F4EE"/>
        </x:patternFill>
      </x:fill>
    </x:dxf>
    <x:dxf>
      <x:font>
        <x:b/>
        <x:color rgb="FF8B1E1E"/>
      </x:font>
      <x:fill>
        <x:patternFill patternType="solid">
          <x:bgColor rgb="FFF7C8C5"/>
        </x:patternFill>
      </x:fill>
    </x:dxf>
    <x:dxf>
      <x:font>
        <x:b/>
        <x:color rgb="FF5B2C83"/>
      </x:font>
      <x:fill>
        <x:patternFill patternType="solid">
          <x:bgColor rgb="FFE8D7F5"/>
        </x:patternFill>
      </x:fill>
    </x:dxf>
    <x:dxf>
      <x:font>
        <x:b/>
        <x:color rgb="FF8B1E1E"/>
      </x:font>
      <x:fill>
        <x:patternFill patternType="solid">
          <x:bgColor rgb="FFFDE2E0"/>
        </x:patternFill>
      </x:fill>
    </x:dxf>
    <x:dxf>
      <x:font>
        <x:b/>
        <x:color rgb="FF8B1E1E"/>
      </x:font>
      <x:fill>
        <x:patternFill patternType="solid">
          <x:bgColor rgb="FFFDE2E0"/>
        </x:patternFill>
      </x:fill>
    </x:dxf>
    <x:dxf>
      <x:font>
        <x:b/>
        <x:color rgb="FF8B1E1E"/>
      </x:font>
      <x:fill>
        <x:patternFill patternType="solid">
          <x:bgColor rgb="FFFDE2E0"/>
        </x:patternFill>
      </x:fill>
    </x:dxf>
    <x:dxf>
      <x:font>
        <x:b/>
        <x:color rgb="FF775A00"/>
      </x:font>
      <x:fill>
        <x:patternFill patternType="solid">
          <x:bgColor rgb="FFFFF0C2"/>
        </x:patternFill>
      </x:fill>
    </x:dxf>
    <x:dxf>
      <x:font>
        <x:b/>
        <x:color rgb="FF1C6545"/>
      </x:font>
      <x:fill>
        <x:patternFill patternType="solid">
          <x:bgColor rgb="FFE5F4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e05039b9b4422" /><Relationship Type="http://schemas.openxmlformats.org/officeDocument/2006/relationships/theme" Target="/xl/theme/theme1.xml" Id="R99cbc52f308a4b13" /><Relationship Type="http://schemas.openxmlformats.org/officeDocument/2006/relationships/sharedStrings" Target="/xl/sharedStrings.xml" Id="R83345584528b4f15" /><Relationship Type="http://schemas.openxmlformats.org/officeDocument/2006/relationships/worksheet" Target="/xl/worksheets/sheet1.xml" Id="R73b221d33c144c9b" /><Relationship Type="http://schemas.openxmlformats.org/officeDocument/2006/relationships/worksheet" Target="/xl/worksheets/sheet2.xml" Id="Rcf3fa903b9cf48cc" /><Relationship Type="http://schemas.openxmlformats.org/officeDocument/2006/relationships/worksheet" Target="/xl/worksheets/sheet3.xml" Id="R47b49e826c894434" /><Relationship Type="http://schemas.openxmlformats.org/officeDocument/2006/relationships/worksheet" Target="/xl/worksheets/sheet4.xml" Id="R07031c76b99246c9" /><Relationship Type="http://schemas.openxmlformats.org/officeDocument/2006/relationships/worksheet" Target="/xl/worksheets/sheet5.xml" Id="Rd1faef4665794107" /><Relationship Type="http://schemas.openxmlformats.org/officeDocument/2006/relationships/worksheet" Target="/xl/worksheets/sheet6.xml" Id="R76ac8686102d470e" /><Relationship Type="http://schemas.openxmlformats.org/officeDocument/2006/relationships/worksheet" Target="/xl/worksheets/sheet7.xml" Id="R4b76b4be7c4e4f4d" /></Relationships>
</file>

<file path=xl/tables/table1.xml><?xml version="1.0" encoding="utf-8"?>
<x:table xmlns:x="http://schemas.openxmlformats.org/spreadsheetml/2006/main" id="1" name="MissingRegister" displayName="MissingRegister" ref="A7:L47" headerRowCount="1" totalsRowCount="0" totalsRowShown="0">
  <x:autoFilter ref="A7:L47"/>
  <x:tableColumns count="12">
    <x:tableColumn id="1" name="ID"/>
    <x:tableColumn id="2" name="优先级"/>
    <x:tableColumn id="3" name="分类"/>
    <x:tableColumn id="4" name="缺失/风险"/>
    <x:tableColumn id="5" name="当前状态"/>
    <x:tableColumn id="6" name="源码/运行证据"/>
    <x:tableColumn id="7" name="必须恢复或补齐"/>
    <x:tableColumn id="8" name="Canonical Owner"/>
    <x:tableColumn id="9" name="Round"/>
    <x:tableColumn id="10" name="PDF Tasks"/>
    <x:tableColumn id="11" name="验收门"/>
    <x:tableColumn id="12" name="PO/停止条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reenCoverage" displayName="ScreenCoverage" ref="A4:R48" headerRowCount="1" totalsRowCount="0" totalsRowShown="0">
  <x:autoFilter ref="A4:R48"/>
  <x:tableColumns count="18">
    <x:tableColumn id="1" name="Screen"/>
    <x:tableColumn id="2" name="Blueprint"/>
    <x:tableColumn id="3" name="详细规格"/>
    <x:tableColumn id="4" name="Binding 状态"/>
    <x:tableColumn id="5" name="Runtime HTTP"/>
    <x:tableColumn id="6" name="Runtime bound"/>
    <x:tableColumn id="7" name="Flutter"/>
    <x:tableColumn id="8" name="Public Website"/>
    <x:tableColumn id="9" name="Web Workspace"/>
    <x:tableColumn id="10" name="Desktop"/>
    <x:tableColumn id="11" name="Mobile"/>
    <x:tableColumn id="12" name="Round"/>
    <x:tableColumn id="13" name="PDF 页"/>
    <x:tableColumn id="14" name="PDF Tasks"/>
    <x:tableColumn id="15" name="Interaction"/>
    <x:tableColumn id="16" name="Recomposition"/>
    <x:tableColumn id="17" name="源码文件"/>
    <x:tableColumn id="18" name="判定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pabilityMatrix" displayName="CapabilityMatrix" ref="A4:O64" headerRowCount="1" totalsRowCount="0" totalsRowShown="0">
  <x:autoFilter ref="A4:O64"/>
  <x:tableColumns count="15">
    <x:tableColumn id="1" name="ID"/>
    <x:tableColumn id="2" name="领域"/>
    <x:tableColumn id="3" name="能力"/>
    <x:tableColumn id="4" name="Canonical Owner"/>
    <x:tableColumn id="5" name="Current implementation"/>
    <x:tableColumn id="6" name="Callers / Contract"/>
    <x:tableColumn id="7" name="Database"/>
    <x:tableColumn id="8" name="Permission"/>
    <x:tableColumn id="9" name="Evidence"/>
    <x:tableColumn id="10" name="Tests"/>
    <x:tableColumn id="11" name="Runtime"/>
    <x:tableColumn id="12" name="Duplicate / Compatibility"/>
    <x:tableColumn id="13" name="Status"/>
    <x:tableColumn id="14" name="Round"/>
    <x:tableColumn id="15" name="Ga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undPlan" displayName="RoundPlan" ref="A4:L19" headerRowCount="1" totalsRowCount="0" totalsRowShown="0">
  <x:autoFilter ref="A4:L19"/>
  <x:tableColumns count="12">
    <x:tableColumn id="1" name="Round"/>
    <x:tableColumn id="2" name="名称"/>
    <x:tableColumn id="3" name="产品结果"/>
    <x:tableColumn id="4" name="PDF 页"/>
    <x:tableColumn id="5" name="Task IDs"/>
    <x:tableColumn id="6" name="Task 数"/>
    <x:tableColumn id="7" name="Owner"/>
    <x:tableColumn id="8" name="前置"/>
    <x:tableColumn id="9" name="主要 Luna Batch"/>
    <x:tableColumn id="10" name="Validation"/>
    <x:tableColumn id="11" name="退出门"/>
    <x:tableColumn id="12" name="Stop Cond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dfCoverage" displayName="PdfCoverage" ref="A4:O229" headerRowCount="1" totalsRowCount="0" totalsRowShown="0">
  <x:autoFilter ref="A4:O229"/>
  <x:tableColumns count="15">
    <x:tableColumn id="1" name="PDF 页"/>
    <x:tableColumn id="2" name="Taskbook 页"/>
    <x:tableColumn id="3" name="Task ID"/>
    <x:tableColumn id="4" name="原负责人"/>
    <x:tableColumn id="5" name="任务标题"/>
    <x:tableColumn id="6" name="Round"/>
    <x:tableColumn id="7" name="分配原因"/>
    <x:tableColumn id="8" name="当前源码状态"/>
    <x:tableColumn id="9" name="任务类型"/>
    <x:tableColumn id="10" name="目标"/>
    <x:tableColumn id="11" name="输入/必读"/>
    <x:tableColumn id="12" name="允许范围"/>
    <x:tableColumn id="13" name="禁止事项"/>
    <x:tableColumn id="14" name="完成条件"/>
    <x:tableColumn id="15" name="验证命令/证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Index" displayName="EvidenceIndex" ref="A4:F16" headerRowCount="1" totalsRowCount="0" totalsRowShown="0">
  <x:autoFilter ref="A4:F16"/>
  <x:tableColumns count="6">
    <x:tableColumn id="1" name="领域"/>
    <x:tableColumn id="2" name="对象"/>
    <x:tableColumn id="3" name="结果"/>
    <x:tableColumn id="4" name="方法"/>
    <x:tableColumn id="5" name="状态"/>
    <x:tableColumn id="6" name="边界/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atusDefinitions" displayName="StatusDefinitions" ref="A4:C15" headerRowCount="1" totalsRowCount="0" totalsRowShown="0">
  <x:autoFilter ref="A4:C15"/>
  <x:tableColumns count="3">
    <x:tableColumn id="1" name="状态"/>
    <x:tableColumn id="2" name="定义"/>
    <x:tableColumn id="3" name="禁止误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dd562c136d49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14ca494bc344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416f1312cb41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fc109c2d4a48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6f28a7bde0c4c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2fc657f1bba42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80857476c2142ff" /></Relationships>
</file>

<file path=xl/worksheets/sheet1.xml><?xml version="1.0" encoding="utf-8"?>
<x:worksheet xmlns:x="http://schemas.openxmlformats.org/spreadsheetml/2006/main">
  <x:sheetPr>
    <x:tabColor rgb="FFC84D4D"/>
  </x:sheetPr>
  <x:sheetViews>
    <x:sheetView workbookViewId="0">
      <x:pane xSplit="3" ySplit="7" topLeftCell="D8" activePane="bottomRight" state="frozen"/>
    </x:sheetView>
  </x:sheetViews>
  <x:sheetFormatPr defaultRowHeight="15"/>
  <x:cols>
    <x:col min="8" max="8" width="22" hidden="0" customWidth="1"/>
    <x:col min="1" max="1" width="12" hidden="0" customWidth="1"/>
    <x:col min="2" max="2" width="8" hidden="0" customWidth="1"/>
    <x:col min="3" max="3" width="18" hidden="0" customWidth="1"/>
    <x:col min="4" max="4" width="34" hidden="0" customWidth="1"/>
    <x:col min="5" max="5" width="18" hidden="0" customWidth="1"/>
    <x:col min="6" max="6" width="38" hidden="0" customWidth="1"/>
    <x:col min="7" max="7" width="40" hidden="0" customWidth="1"/>
    <x:col min="9" max="9" width="8" hidden="0" customWidth="1"/>
    <x:col min="10" max="10" width="18" hidden="0" customWidth="1"/>
    <x:col min="11" max="11" width="42" hidden="0" customWidth="1"/>
    <x:col min="12" max="12" width="28" hidden="0" customWidth="1"/>
  </x:cols>
  <x:sheetData>
    <x:row r="1" ht="34" customHeight="1">
      <x:c r="A1" s="3" t="str">
        <x:v>LUMENIS 缺失 / 风险 / 恢复登记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ROUND 01 源码审计基线 df15a99de6f5ffc3eb85e2c9924afb59c1c3c781 ｜ Product Owner 已批准十五轮映射；ROUND 02 另开 Sol 任务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3" t="str">
        <x:v>P0</x:v>
      </x:c>
      <x:c r="B4" s="13" t="str">
        <x:v>P1</x:v>
      </x:c>
      <x:c r="C4" s="13" t="str">
        <x:v>P2</x:v>
      </x:c>
      <x:c r="D4" s="13" t="str">
        <x:v>ABSENT</x:v>
      </x:c>
      <x:c r="E4" s="13" t="str">
        <x:v>PARTIAL</x:v>
      </x:c>
      <x:c r="F4" s="13" t="str">
        <x:v>BLOCKED</x:v>
      </x:c>
      <x:c r="G4" s="13" t="str">
        <x:v>总项数</x:v>
      </x:c>
      <x:c r="H4" s="13" t="str">
        <x:v>说明</x:v>
      </x:c>
    </x:row>
    <x:row r="5">
      <x:c r="A5" s="14" t="n">
        <x:f>COUNTIF(B8:B47,"P0")</x:f>
        <x:v>15</x:v>
      </x:c>
      <x:c r="B5" s="15" t="n">
        <x:f>COUNTIF(B8:B47,"P1")</x:f>
        <x:v>20</x:v>
      </x:c>
      <x:c r="C5" s="16" t="n">
        <x:f>COUNTIF(B8:B47,"P2")</x:f>
        <x:v>5</x:v>
      </x:c>
      <x:c r="D5" s="11" t="n">
        <x:f>COUNTIF(E8:E47,"ABSENT")</x:f>
        <x:v>9</x:v>
      </x:c>
      <x:c r="E5" s="11" t="n">
        <x:f>COUNTIF(E8:E47,"PARTIAL")</x:f>
        <x:v>21</x:v>
      </x:c>
      <x:c r="F5" s="11" t="n">
        <x:f>COUNTIF(E8:E47,"BLOCKED")</x:f>
        <x:v>5</x:v>
      </x:c>
      <x:c r="G5" s="11" t="n">
        <x:f>COUNTA(A8:A47)</x:f>
        <x:v>40</x:v>
      </x:c>
      <x:c r="H5" s="11" t="str">
        <x:v>状态不是完成度美化：HTTP 200、bound、fixture、模型注册均不能单独证明业务闭环。</x:v>
      </x:c>
    </x:row>
    <x:row r="7" ht="34" customHeight="1">
      <x:c r="A7" s="22" t="str">
        <x:v>ID</x:v>
      </x:c>
      <x:c r="B7" s="22" t="str">
        <x:v>优先级</x:v>
      </x:c>
      <x:c r="C7" s="22" t="str">
        <x:v>分类</x:v>
      </x:c>
      <x:c r="D7" s="22" t="str">
        <x:v>缺失/风险</x:v>
      </x:c>
      <x:c r="E7" s="22" t="str">
        <x:v>当前状态</x:v>
      </x:c>
      <x:c r="F7" s="22" t="str">
        <x:v>源码/运行证据</x:v>
      </x:c>
      <x:c r="G7" s="22" t="str">
        <x:v>必须恢复或补齐</x:v>
      </x:c>
      <x:c r="H7" s="22" t="str">
        <x:v>Canonical Owner</x:v>
      </x:c>
      <x:c r="I7" s="22" t="str">
        <x:v>Round</x:v>
      </x:c>
      <x:c r="J7" s="22" t="str">
        <x:v>PDF Tasks</x:v>
      </x:c>
      <x:c r="K7" s="22" t="str">
        <x:v>验收门</x:v>
      </x:c>
      <x:c r="L7" s="22" t="str">
        <x:v>PO/停止条件</x:v>
      </x:c>
    </x:row>
    <x:row r="8" ht="42" customHeight="1">
      <x:c r="A8" s="26" t="str">
        <x:v>MISS-001</x:v>
      </x:c>
      <x:c r="B8" s="26" t="str">
        <x:v>P0</x:v>
      </x:c>
      <x:c r="C8" s="26" t="str">
        <x:v>Skill Store</x:v>
      </x:c>
      <x:c r="D8" s="26" t="str">
        <x:v>LUMENIS Product Skill Store is not visible or whole</x:v>
      </x:c>
      <x:c r="E8" s="26" t="str">
        <x:v>PARTIAL</x:v>
      </x:c>
      <x:c r="F8" s="26" t="str">
        <x:v>SkillRegistry + skills_registry + package_runtime + execution tests; AI-04 uses FUNCTION_MAP</x:v>
      </x:c>
      <x:c r="G8" s="26" t="str">
        <x:v>Converge one catalog/lifecycle owner; preserve built-ins/custom/MCP/module behavior; add Web/Desktop/Mobile role</x:v>
      </x:c>
      <x:c r="H8" s="26" t="str">
        <x:v>Shared Agent Skills</x:v>
      </x:c>
      <x:c r="I8" s="26" t="n">
        <x:v>7</x:v>
      </x:c>
      <x:c r="J8" s="26" t="str">
        <x:v>AI-04 tasks 137–140</x:v>
      </x:c>
      <x:c r="K8" s="26" t="str">
        <x:v>Discover→inspect trust/license/I-O/permission→enable→verified run→history→update/disable/uninstall; honest health</x:v>
      </x:c>
      <x:c r="L8" s="26" t="str">
        <x:v>PO approval already covers preservation; implementation waits for Round 07</x:v>
      </x:c>
    </x:row>
    <x:row r="9" ht="42" customHeight="1">
      <x:c r="A9" s="26" t="str">
        <x:v>MISS-002</x:v>
      </x:c>
      <x:c r="B9" s="26" t="str">
        <x:v>P0</x:v>
      </x:c>
      <x:c r="C9" s="26" t="str">
        <x:v>Experience Truth</x:v>
      </x:c>
      <x:c r="D9" s="26" t="str">
        <x:v>All 44 runtime screens report bound=true despite only six implemented screens/specs</x:v>
      </x:c>
      <x:c r="E9" s="26" t="str">
        <x:v>PARTIAL</x:v>
      </x:c>
      <x:c r="F9" s="26" t="str">
        <x:v>44/44 GET 200 + bound=true; six Flutter slices; six detailed specs</x:v>
      </x:c>
      <x:c r="G9" s="26" t="str">
        <x:v>Make bound/readiness derive from verified owner/scope/action/evidence and actual surface availability</x:v>
      </x:c>
      <x:c r="H9" s="26" t="str">
        <x:v>Product Core / Experience</x:v>
      </x:c>
      <x:c r="I9" s="26" t="n">
        <x:v>8</x:v>
      </x:c>
      <x:c r="J9" s="26" t="str">
        <x:v>020–024 + all screen tasks</x:v>
      </x:c>
      <x:c r="K9" s="26" t="str">
        <x:v>Unimplemented/blocked fields never report ready/bound; runtime and registry agree</x:v>
      </x:c>
      <x:c r="L9" s="26" t="str">
        <x:v>No new architecture decision</x:v>
      </x:c>
    </x:row>
    <x:row r="10" ht="42" customHeight="1">
      <x:c r="A10" s="26" t="str">
        <x:v>MISS-003</x:v>
      </x:c>
      <x:c r="B10" s="26" t="str">
        <x:v>P0</x:v>
      </x:c>
      <x:c r="C10" s="26" t="str">
        <x:v>Web Workspace</x:v>
      </x:c>
      <x:c r="D10" s="26" t="str">
        <x:v>Commercial browser workspace absent</x:v>
      </x:c>
      <x:c r="E10" s="26" t="str">
        <x:v>ABSENT</x:v>
      </x:c>
      <x:c r="F10" s="26" t="str">
        <x:v>No app/web target, no website workspace code/deploy</x:v>
      </x:c>
      <x:c r="G10" s="26" t="str">
        <x:v>Create approved Flutter Web Workspace shell over canonical API/ViewModel after Round 08 gate</x:v>
      </x:c>
      <x:c r="H10" s="26" t="str">
        <x:v>Experience</x:v>
      </x:c>
      <x:c r="I10" s="26" t="n">
        <x:v>8</x:v>
      </x:c>
      <x:c r="J10" s="26" t="str">
        <x:v>020–023 + screen UI tasks</x:v>
      </x:c>
      <x:c r="K10" s="26" t="str">
        <x:v>Browser login/context/task/result/Evidence works without local-only capability simulation</x:v>
      </x:c>
      <x:c r="L10" s="26" t="str">
        <x:v>Architecture already approved</x:v>
      </x:c>
    </x:row>
    <x:row r="11" ht="42" customHeight="1">
      <x:c r="A11" s="26" t="str">
        <x:v>MISS-004</x:v>
      </x:c>
      <x:c r="B11" s="26" t="str">
        <x:v>P0</x:v>
      </x:c>
      <x:c r="C11" s="26" t="str">
        <x:v>Public Website</x:v>
      </x:c>
      <x:c r="D11" s="26" t="str">
        <x:v>Commercial website absent</x:v>
      </x:c>
      <x:c r="E11" s="26" t="str">
        <x:v>ABSENT</x:v>
      </x:c>
      <x:c r="F11" s="26" t="str">
        <x:v>No website/, templates/static product surface or deploy config</x:v>
      </x:c>
      <x:c r="G11" s="26" t="str">
        <x:v>Implement separate presentation/acquisition surface: product, CTH/BMP/Shared/SYSTEM, cases/demo, trial/contact/help/login</x:v>
      </x:c>
      <x:c r="H11" s="26" t="str">
        <x:v>Public Website</x:v>
      </x:c>
      <x:c r="I11" s="26" t="n">
        <x:v>8</x:v>
      </x:c>
      <x:c r="J11" s="26" t="str">
        <x:v>Multi-surface delta</x:v>
      </x:c>
      <x:c r="K11" s="26" t="str">
        <x:v>SEO/accessibility/performance + real trial/contact/workspace-entry journey; no production truth</x:v>
      </x:c>
      <x:c r="L11" s="26" t="str">
        <x:v>Architecture already approved</x:v>
      </x:c>
    </x:row>
    <x:row r="12" ht="42" customHeight="1">
      <x:c r="A12" s="26" t="str">
        <x:v>MISS-005</x:v>
      </x:c>
      <x:c r="B12" s="26" t="str">
        <x:v>P0</x:v>
      </x:c>
      <x:c r="C12" s="26" t="str">
        <x:v>Permission</x:v>
      </x:c>
      <x:c r="D12" s="26" t="str">
        <x:v>Per-screen READ actor/domain/Subject/BrandFocus permission largely missing</x:v>
      </x:c>
      <x:c r="E12" s="26" t="str">
        <x:v>PARTIAL</x:v>
      </x:c>
      <x:c r="F12" s="26" t="str">
        <x:v>54 bindings acceptance pending; screen GET routes use optional global Basic</x:v>
      </x:c>
      <x:c r="G12" s="26" t="str">
        <x:v>Bind trusted actor and target scope through existing Permission owner; fail closed</x:v>
      </x:c>
      <x:c r="H12" s="26" t="str">
        <x:v>SYSTEM Security</x:v>
      </x:c>
      <x:c r="I12" s="26" t="n">
        <x:v>4</x:v>
      </x:c>
      <x:c r="J12" s="26" t="str">
        <x:v>007–011 + screen backend tasks</x:v>
      </x:c>
      <x:c r="K12" s="26" t="str">
        <x:v>Unauthorized cross-scope reads denied and audited; UI denial distinct</x:v>
      </x:c>
      <x:c r="L12" s="26" t="str">
        <x:v>No new auth owner</x:v>
      </x:c>
    </x:row>
    <x:row r="13" ht="42" customHeight="1">
      <x:c r="A13" s="26" t="str">
        <x:v>MISS-006</x:v>
      </x:c>
      <x:c r="B13" s="26" t="str">
        <x:v>P0</x:v>
      </x:c>
      <x:c r="C13" s="26" t="str">
        <x:v>Evidence</x:v>
      </x:c>
      <x:c r="D13" s="26" t="str">
        <x:v>Shared Evidence reads are globally scoped and duplicate stores remain</x:v>
      </x:c>
      <x:c r="E13" s="26" t="str">
        <x:v>PARTIAL</x:v>
      </x:c>
      <x:c r="F13" s="26" t="str">
        <x:v>app_evidence_records + zbc_evidence + task evidence; AI-01 withholds global data</x:v>
      </x:c>
      <x:c r="G13" s="26" t="str">
        <x:v>Converge read contracts and actor/domain/object lineage without rewriting source facts</x:v>
      </x:c>
      <x:c r="H13" s="26" t="str">
        <x:v>Shared Evidence</x:v>
      </x:c>
      <x:c r="I13" s="26" t="n">
        <x:v>4</x:v>
      </x:c>
      <x:c r="J13" s="26" t="str">
        <x:v>010–011 + Evidence-related screens</x:v>
      </x:c>
      <x:c r="K13" s="26" t="str">
        <x:v>Every claim/action traces to immutable source and Return; no cross-scope leakage</x:v>
      </x:c>
      <x:c r="L13" s="26" t="str">
        <x:v>No new Evidence owner</x:v>
      </x:c>
    </x:row>
    <x:row r="14" ht="42" customHeight="1">
      <x:c r="A14" s="26" t="str">
        <x:v>MISS-007</x:v>
      </x:c>
      <x:c r="B14" s="26" t="str">
        <x:v>P0</x:v>
      </x:c>
      <x:c r="C14" s="26" t="str">
        <x:v>Product context</x:v>
      </x:c>
      <x:c r="D14" s="26" t="str">
        <x:v>Authorized Subject/BrandFocus does not propagate through all workflows</x:v>
      </x:c>
      <x:c r="E14" s="26" t="str">
        <x:v>PARTIAL</x:v>
      </x:c>
      <x:c r="F14" s="26" t="str">
        <x:v>Live identity returns CTH Subject; AI-01 blocks scoped submit; BMP live path unproved</x:v>
      </x:c>
      <x:c r="G14" s="26" t="str">
        <x:v>One server-authorized context contract shared by Web/Desktop/Mobile</x:v>
      </x:c>
      <x:c r="H14" s="26" t="str">
        <x:v>Product Core</x:v>
      </x:c>
      <x:c r="I14" s="26" t="n">
        <x:v>4</x:v>
      </x:c>
      <x:c r="J14" s="26" t="str">
        <x:v>008–009</x:v>
      </x:c>
      <x:c r="K14" s="26" t="str">
        <x:v>Context selection cannot grant access; task/history/report all retain scope</x:v>
      </x:c>
      <x:c r="L14" s="26" t="str">
        <x:v>No new context store</x:v>
      </x:c>
    </x:row>
    <x:row r="15" ht="42" customHeight="1">
      <x:c r="A15" s="26" t="str">
        <x:v>MISS-008</x:v>
      </x:c>
      <x:c r="B15" s="26" t="str">
        <x:v>P0</x:v>
      </x:c>
      <x:c r="C15" s="26" t="str">
        <x:v>Action closure</x:v>
      </x:c>
      <x:c r="D15" s="26" t="str">
        <x:v>Most declared UI actions have no verified API/Permission/effect/Evidence contract</x:v>
      </x:c>
      <x:c r="E15" s="26" t="str">
        <x:v>PARTIAL</x:v>
      </x:c>
      <x:c r="F15" s="26" t="str">
        <x:v>Experience action registries vs implemented routes; six UI slices mostly read-only</x:v>
      </x:c>
      <x:c r="G15" s="26" t="str">
        <x:v>Resolve one action at a time through existing owner/firewall/fence</x:v>
      </x:c>
      <x:c r="H15" s="26" t="str">
        <x:v>Domain owner + SYSTEM Security</x:v>
      </x:c>
      <x:c r="I15" s="26" t="n">
        <x:v>4</x:v>
      </x:c>
      <x:c r="J15" s="26" t="str">
        <x:v>Screen backend/E2E tasks</x:v>
      </x:c>
      <x:c r="K15" s="26" t="str">
        <x:v>Decision→approval→idempotent effect→result→Evidence→rollback</x:v>
      </x:c>
      <x:c r="L15" s="26" t="str">
        <x:v>No fake buttons</x:v>
      </x:c>
    </x:row>
    <x:row r="16" ht="42" customHeight="1">
      <x:c r="A16" s="26" t="str">
        <x:v>MISS-009</x:v>
      </x:c>
      <x:c r="B16" s="26" t="str">
        <x:v>P0</x:v>
      </x:c>
      <x:c r="C16" s="26" t="str">
        <x:v>CI</x:v>
      </x:c>
      <x:c r="D16" s="26" t="str">
        <x:v>No passing Product/App Gate for current HEAD</x:v>
      </x:c>
      <x:c r="E16" s="26" t="str">
        <x:v>BLOCKED</x:v>
      </x:c>
      <x:c r="F16" s="26" t="str">
        <x:v>Latest runs at 3f93c128 failed before any steps; current df15a99d has no run</x:v>
      </x:c>
      <x:c r="G16" s="26" t="str">
        <x:v>Repair runner/account/infrastructure and execute current-head blocking gates</x:v>
      </x:c>
      <x:c r="H16" s="26" t="str">
        <x:v>SYSTEM Release</x:v>
      </x:c>
      <x:c r="I16" s="26" t="n">
        <x:v>15</x:v>
      </x:c>
      <x:c r="J16" s="26" t="str">
        <x:v>018, 215–216</x:v>
      </x:c>
      <x:c r="K16" s="26" t="str">
        <x:v>Current SHA has complete logs and green required jobs; Tier C remains separate</x:v>
      </x:c>
      <x:c r="L16" s="26" t="str">
        <x:v>May require GitHub billing/runner action</x:v>
      </x:c>
    </x:row>
    <x:row r="17" ht="42" customHeight="1">
      <x:c r="A17" s="26" t="str">
        <x:v>MISS-010</x:v>
      </x:c>
      <x:c r="B17" s="26" t="str">
        <x:v>P0</x:v>
      </x:c>
      <x:c r="C17" s="26" t="str">
        <x:v>Release</x:v>
      </x:c>
      <x:c r="D17" s="26" t="str">
        <x:v>No clean-clone/cross-platform/Internal Beta evidence</x:v>
      </x:c>
      <x:c r="E17" s="26" t="str">
        <x:v>ABSENT</x:v>
      </x:c>
      <x:c r="F17" s="26" t="str">
        <x:v>Targets exist; no current artifact matrix or fresh-data smoke</x:v>
      </x:c>
      <x:c r="G17" s="26" t="str">
        <x:v>Build/install/test Windows/macOS/Linux/Android/iOS as applicable with rollback</x:v>
      </x:c>
      <x:c r="H17" s="26" t="str">
        <x:v>SYSTEM Release</x:v>
      </x:c>
      <x:c r="I17" s="26" t="n">
        <x:v>15</x:v>
      </x:c>
      <x:c r="J17" s="26" t="str">
        <x:v>201–224</x:v>
      </x:c>
      <x:c r="K17" s="26" t="str">
        <x:v>Release manifest ties source/schema/tests/artifacts/live evidence</x:v>
      </x:c>
      <x:c r="L17" s="26" t="str">
        <x:v>Device/OS resources may be required</x:v>
      </x:c>
    </x:row>
    <x:row r="18" ht="42" customHeight="1">
      <x:c r="A18" s="26" t="str">
        <x:v>MISS-011</x:v>
      </x:c>
      <x:c r="B18" s="26" t="str">
        <x:v>P0</x:v>
      </x:c>
      <x:c r="C18" s="26" t="str">
        <x:v>Security</x:v>
      </x:c>
      <x:c r="D18" s="26" t="str">
        <x:v>Sensitive default account/recovery bootstrap material is hardcoded in source</x:v>
      </x:c>
      <x:c r="E18" s="26" t="str">
        <x:v>BLOCKED</x:v>
      </x:c>
      <x:c r="F18" s="26" t="str">
        <x:v>account/models.py initializes owner/recovery defaults</x:v>
      </x:c>
      <x:c r="G18" s="26" t="str">
        <x:v>Remove fixed secret material through approved migration/recovery design without blocking pre-beta</x:v>
      </x:c>
      <x:c r="H18" s="26" t="str">
        <x:v>SYSTEM Account/Security</x:v>
      </x:c>
      <x:c r="I18" s="26" t="n">
        <x:v>4</x:v>
      </x:c>
      <x:c r="J18" s="26" t="str">
        <x:v>007, 209</x:v>
      </x:c>
      <x:c r="K18" s="26" t="str">
        <x:v>No plaintext/default personal secret; upgrade/migration/recovery tested</x:v>
      </x:c>
      <x:c r="L18" s="26" t="str">
        <x:v>PO/security decision required before changing identity data</x:v>
      </x:c>
    </x:row>
    <x:row r="19" ht="42" customHeight="1">
      <x:c r="A19" s="26" t="str">
        <x:v>MISS-012</x:v>
      </x:c>
      <x:c r="B19" s="26" t="str">
        <x:v>P0</x:v>
      </x:c>
      <x:c r="C19" s="26" t="str">
        <x:v>Runtime output</x:v>
      </x:c>
      <x:c r="D19" s="26" t="str">
        <x:v>Mutable Collector schedule state is tracked inside the source tree</x:v>
      </x:c>
      <x:c r="E19" s="26" t="str">
        <x:v>EXISTS_BUT_UNSCOPED</x:v>
      </x:c>
      <x:c r="F19" s="26" t="str">
        <x:v>df15a99d auto-watch commit added lumenis/system/collector/data/schedule_state.json</x:v>
      </x:c>
      <x:c r="G19" s="26" t="str">
        <x:v>Move future runtime state to canonical operational storage; preserve current behavior/data until owner and migration are approved</x:v>
      </x:c>
      <x:c r="H19" s="26" t="str">
        <x:v>SYSTEM Collector/Runtime</x:v>
      </x:c>
      <x:c r="I19" s="26" t="n">
        <x:v>5</x:v>
      </x:c>
      <x:c r="J19" s="26" t="str">
        <x:v>016–017</x:v>
      </x:c>
      <x:c r="K19" s="26" t="str">
        <x:v>Read endpoints do not mutate source tree; operational state survives/recoverable without auto-committing runtime changes</x:v>
      </x:c>
      <x:c r="L19" s="26" t="str">
        <x:v>No deletion or migration before owner/data decision</x:v>
      </x:c>
    </x:row>
    <x:row r="20" ht="42" customHeight="1">
      <x:c r="A20" s="26" t="str">
        <x:v>MISS-013</x:v>
      </x:c>
      <x:c r="B20" s="26" t="str">
        <x:v>P0</x:v>
      </x:c>
      <x:c r="C20" s="26" t="str">
        <x:v>AI Gateway</x:v>
      </x:c>
      <x:c r="D20" s="26" t="str">
        <x:v>Provider status endpoints contradict each other</x:v>
      </x:c>
      <x:c r="E20" s="26" t="str">
        <x:v>PARTIAL</x:v>
      </x:c>
      <x:c r="F20" s="26" t="str">
        <x:v>/api/ai/status says Ollama running; /api/ai/providers says local unavailable while listing Ollama available</x:v>
      </x:c>
      <x:c r="G20" s="26" t="str">
        <x:v>One provider state machine and one contract across AI-01/AI-05</x:v>
      </x:c>
      <x:c r="H20" s="26" t="str">
        <x:v>SYSTEM AI Gateway</x:v>
      </x:c>
      <x:c r="I20" s="26" t="n">
        <x:v>7</x:v>
      </x:c>
      <x:c r="J20" s="26" t="str">
        <x:v>012–013, 141–144</x:v>
      </x:c>
      <x:c r="K20" s="26" t="str">
        <x:v>Same check time/provider/model/fallback yields consistent honest state</x:v>
      </x:c>
      <x:c r="L20" s="26" t="str">
        <x:v>No new gateway</x:v>
      </x:c>
    </x:row>
    <x:row r="21" ht="42" customHeight="1">
      <x:c r="A21" s="26" t="str">
        <x:v>MISS-014</x:v>
      </x:c>
      <x:c r="B21" s="26" t="str">
        <x:v>P0</x:v>
      </x:c>
      <x:c r="C21" s="26" t="str">
        <x:v>AI API</x:v>
      </x:c>
      <x:c r="D21" s="26" t="str">
        <x:v>Duplicate /api/ai/tasks ownership</x:v>
      </x:c>
      <x:c r="E21" s="26" t="str">
        <x:v>PARTIAL</x:v>
      </x:c>
      <x:c r="F21" s="26" t="str">
        <x:v>ai_api.py and app.py both declare GET/POST /api/ai/tasks</x:v>
      </x:c>
      <x:c r="G21" s="26" t="str">
        <x:v>Choose canonical route; adapt callers; preserve behavior/tests before removal</x:v>
      </x:c>
      <x:c r="H21" s="26" t="str">
        <x:v>AI Task Engine</x:v>
      </x:c>
      <x:c r="I21" s="26" t="n">
        <x:v>7</x:v>
      </x:c>
      <x:c r="J21" s="26" t="str">
        <x:v>013</x:v>
      </x:c>
      <x:c r="K21" s="26" t="str">
        <x:v>Only one effective route owner; OpenAPI/runtime/callers agree</x:v>
      </x:c>
      <x:c r="L21" s="26" t="str">
        <x:v>Sol owner decision</x:v>
      </x:c>
    </x:row>
    <x:row r="22" ht="42" customHeight="1">
      <x:c r="A22" s="26" t="str">
        <x:v>MISS-015</x:v>
      </x:c>
      <x:c r="B22" s="26" t="str">
        <x:v>P0</x:v>
      </x:c>
      <x:c r="C22" s="26" t="str">
        <x:v>44 screen delivery</x:v>
      </x:c>
      <x:c r="D22" s="26" t="str">
        <x:v>38 screens lack detailed specs and Flutter implementation</x:v>
      </x:c>
      <x:c r="E22" s="26" t="str">
        <x:v>ABSENT</x:v>
      </x:c>
      <x:c r="F22" s="26" t="str">
        <x:v>44 contract dirs; six specs; six App slices</x:v>
      </x:c>
      <x:c r="G22" s="26" t="str">
        <x:v>Complete purpose-built spec then Web/Desktop/Mobile composition per scheduled round</x:v>
      </x:c>
      <x:c r="H22" s="26" t="str">
        <x:v>Experience + domain owners</x:v>
      </x:c>
      <x:c r="I22" s="26" t="n">
        <x:v>9</x:v>
      </x:c>
      <x:c r="J22" s="26" t="str">
        <x:v>025–200</x:v>
      </x:c>
      <x:c r="K22" s="26" t="str">
        <x:v>Each screen passes field/action/state/surface/accessibility/runtime gates</x:v>
      </x:c>
      <x:c r="L22" s="26" t="str">
        <x:v>No generic page template</x:v>
      </x:c>
    </x:row>
    <x:row r="23" ht="42" customHeight="1">
      <x:c r="A23" s="26" t="str">
        <x:v>MISS-016</x:v>
      </x:c>
      <x:c r="B23" s="26" t="str">
        <x:v>P1</x:v>
      </x:c>
      <x:c r="C23" s="26" t="str">
        <x:v>Desktop capability boundary</x:v>
      </x:c>
      <x:c r="D23" s="26" t="str">
        <x:v>Web cannot express local Collector/CDP/Cookie/Local AI task handoff</x:v>
      </x:c>
      <x:c r="E23" s="26" t="str">
        <x:v>ABSENT</x:v>
      </x:c>
      <x:c r="F23" s="26" t="str">
        <x:v>Multi-surface decision exists; no remote capability contract/UI</x:v>
      </x:c>
      <x:c r="G23" s="26" t="str">
        <x:v>Expose truthful capability availability and authorized desktop/remote task handoff</x:v>
      </x:c>
      <x:c r="H23" s="26" t="str">
        <x:v>Product Core + SYSTEM</x:v>
      </x:c>
      <x:c r="I23" s="26" t="n">
        <x:v>8</x:v>
      </x:c>
      <x:c r="J23" s="26" t="str">
        <x:v>Multi-surface delta</x:v>
      </x:c>
      <x:c r="K23" s="26" t="str">
        <x:v>Web never simulates local success; Desktop result returns to Web</x:v>
      </x:c>
      <x:c r="L23" s="26" t="str">
        <x:v>Approved boundary</x:v>
      </x:c>
    </x:row>
    <x:row r="24" ht="42" customHeight="1">
      <x:c r="A24" s="26" t="str">
        <x:v>MISS-017</x:v>
      </x:c>
      <x:c r="B24" s="26" t="str">
        <x:v>P1</x:v>
      </x:c>
      <x:c r="C24" s="26" t="str">
        <x:v>Mobile Companion</x:v>
      </x:c>
      <x:c r="D24" s="26" t="str">
        <x:v>Notification/approval/report/light-action product flow absent</x:v>
      </x:c>
      <x:c r="E24" s="26" t="str">
        <x:v>ABSENT</x:v>
      </x:c>
      <x:c r="F24" s="26" t="str">
        <x:v>Only six responsive pages; no push/inbox/approval E2E</x:v>
      </x:c>
      <x:c r="G24" s="26" t="str">
        <x:v>Implement companion roles over same contracts</x:v>
      </x:c>
      <x:c r="H24" s="26" t="str">
        <x:v>Experience + Task/Permission</x:v>
      </x:c>
      <x:c r="I24" s="26" t="n">
        <x:v>14</x:v>
      </x:c>
      <x:c r="J24" s="26" t="str">
        <x:v>SH-06/SYS/ACC tasks</x:v>
      </x:c>
      <x:c r="K24" s="26" t="str">
        <x:v>Mobile notification→evidence→approve/deny→result→return</x:v>
      </x:c>
      <x:c r="L24" s="26" t="str">
        <x:v>Notification platform choice may require PO</x:v>
      </x:c>
    </x:row>
    <x:row r="25" ht="42" customHeight="1">
      <x:c r="A25" s="26" t="str">
        <x:v>MISS-018</x:v>
      </x:c>
      <x:c r="B25" s="26" t="str">
        <x:v>P1</x:v>
      </x:c>
      <x:c r="C25" s="26" t="str">
        <x:v>Jev</x:v>
      </x:c>
      <x:c r="D25" s="26" t="str">
        <x:v>Approved typed provider has no implementation</x:v>
      </x:c>
      <x:c r="E25" s="26" t="str">
        <x:v>ABSENT</x:v>
      </x:c>
      <x:c r="F25" s="26" t="str">
        <x:v>Governance mentions only; no provider adapter/test/runtime</x:v>
      </x:c>
      <x:c r="G25" s="26" t="str">
        <x:v>Implement behind one gateway with typed schema, confidence, shadow eval, cost/legal/privacy and rollback</x:v>
      </x:c>
      <x:c r="H25" s="26" t="str">
        <x:v>SYSTEM AI Gateway</x:v>
      </x:c>
      <x:c r="I25" s="26" t="n">
        <x:v>7</x:v>
      </x:c>
      <x:c r="J25" s="26" t="str">
        <x:v>Multi-surface delta</x:v>
      </x:c>
      <x:c r="K25" s="26" t="str">
        <x:v>Never writes truth/effects; low-confidence path explicit; benchmark accepted</x:v>
      </x:c>
      <x:c r="L25" s="26" t="str">
        <x:v>Vendor/account/cost approval required at Task Card</x:v>
      </x:c>
    </x:row>
    <x:row r="26" ht="42" customHeight="1">
      <x:c r="A26" s="26" t="str">
        <x:v>MISS-019</x:v>
      </x:c>
      <x:c r="B26" s="26" t="str">
        <x:v>P1</x:v>
      </x:c>
      <x:c r="C26" s="26" t="str">
        <x:v>Learning</x:v>
      </x:c>
      <x:c r="D26" s="26" t="str">
        <x:v>Continuous learning exists but promotion/rollback is not product-closed</x:v>
      </x:c>
      <x:c r="E26" s="26" t="str">
        <x:v>PARTIAL</x:v>
      </x:c>
      <x:c r="F26" s="26" t="str">
        <x:v>LearningLoop supports proposal/review/inactive apply; no surface/ops closure</x:v>
      </x:c>
      <x:c r="G26" s="26" t="str">
        <x:v>Close feedback→evaluation→versioned asset→shadow→approval→promotion→observe/rollback</x:v>
      </x:c>
      <x:c r="H26" s="26" t="str">
        <x:v>Shared Learning</x:v>
      </x:c>
      <x:c r="I26" s="26" t="n">
        <x:v>7</x:v>
      </x:c>
      <x:c r="J26" s="26" t="str">
        <x:v>AI/SH-05 tasks</x:v>
      </x:c>
      <x:c r="K26" s="26" t="str">
        <x:v>Version and provenance visible; no autonomous truth/permission rewrite</x:v>
      </x:c>
      <x:c r="L26" s="26" t="str">
        <x:v>No new learning owner</x:v>
      </x:c>
    </x:row>
    <x:row r="27" ht="42" customHeight="1">
      <x:c r="A27" s="26" t="str">
        <x:v>MISS-020</x:v>
      </x:c>
      <x:c r="B27" s="26" t="str">
        <x:v>P1</x:v>
      </x:c>
      <x:c r="C27" s="26" t="str">
        <x:v>Reporting</x:v>
      </x:c>
      <x:c r="D27" s="26" t="str">
        <x:v>Report/export paths are multiple and user workflow incomplete</x:v>
      </x:c>
      <x:c r="E27" s="26" t="str">
        <x:v>PARTIAL</x:v>
      </x:c>
      <x:c r="F27" s="26" t="str">
        <x:v>Shared reporting engine/routes/export plus root report paths</x:v>
      </x:c>
      <x:c r="G27" s="26" t="str">
        <x:v>Converge owner and artifact lifecycle; preserve CTH/BMP semantics</x:v>
      </x:c>
      <x:c r="H27" s="26" t="str">
        <x:v>Shared Reporting</x:v>
      </x:c>
      <x:c r="I27" s="26" t="n">
        <x:v>7</x:v>
      </x:c>
      <x:c r="J27" s="26" t="str">
        <x:v>011, CTH-10, SH-04</x:v>
      </x:c>
      <x:c r="K27" s="26" t="str">
        <x:v>Scoped preview/export/download with definitions, evidence and audit</x:v>
      </x:c>
      <x:c r="L27" s="26" t="str">
        <x:v>Format priority may need PO</x:v>
      </x:c>
    </x:row>
    <x:row r="28" ht="42" customHeight="1">
      <x:c r="A28" s="26" t="str">
        <x:v>MISS-021</x:v>
      </x:c>
      <x:c r="B28" s="26" t="str">
        <x:v>P1</x:v>
      </x:c>
      <x:c r="C28" s="26" t="str">
        <x:v>Collector live acceptance</x:v>
      </x:c>
      <x:c r="D28" s="26" t="str">
        <x:v>XHS/session/CDP presence not full acquisition proof</x:v>
      </x:c>
      <x:c r="E28" s="26" t="str">
        <x:v>LIVE_UNVERIFIED</x:v>
      </x:c>
      <x:c r="F28" s="26" t="str">
        <x:v>CDP process and code/tests exist; no current authorized live collection Evidence</x:v>
      </x:c>
      <x:c r="G28" s="26" t="str">
        <x:v>Run approved live gate without exposing secrets</x:v>
      </x:c>
      <x:c r="H28" s="26" t="str">
        <x:v>SYSTEM Collector/Browser</x:v>
      </x:c>
      <x:c r="I28" s="26" t="n">
        <x:v>6</x:v>
      </x:c>
      <x:c r="J28" s="26" t="str">
        <x:v>014–015, 207</x:v>
      </x:c>
      <x:c r="K28" s="26" t="str">
        <x:v>Source→capture→Evidence→canonical with rate/risk/recovery and truthful no-data</x:v>
      </x:c>
      <x:c r="L28" s="26" t="str">
        <x:v>Needs valid user session/window</x:v>
      </x:c>
    </x:row>
    <x:row r="29" ht="42" customHeight="1">
      <x:c r="A29" s="26" t="str">
        <x:v>MISS-022</x:v>
      </x:c>
      <x:c r="B29" s="26" t="str">
        <x:v>P1</x:v>
      </x:c>
      <x:c r="C29" s="26" t="str">
        <x:v>Database release</x:v>
      </x:c>
      <x:c r="D29" s="26" t="str">
        <x:v>Live WAL blocks ordinary protected-seed test copy; backup/migration/rollback not accepted</x:v>
      </x:c>
      <x:c r="E29" s="26" t="str">
        <x:v>BLOCKED</x:v>
      </x:c>
      <x:c r="F29" s="26" t="str">
        <x:v>Test safety gate correctly refused monitor.db WAL/SHM</x:v>
      </x:c>
      <x:c r="G29" s="26" t="str">
        <x:v>Use approved external consistent snapshot/backup path; never stop or checkpoint silently</x:v>
      </x:c>
      <x:c r="H29" s="26" t="str">
        <x:v>Shared Database</x:v>
      </x:c>
      <x:c r="I29" s="26" t="n">
        <x:v>15</x:v>
      </x:c>
      <x:c r="J29" s="26" t="str">
        <x:v>006, 210</x:v>
      </x:c>
      <x:c r="K29" s="26" t="str">
        <x:v>Consistent backup, forward migration, rollback and data integrity evidence</x:v>
      </x:c>
      <x:c r="L29" s="26" t="str">
        <x:v>Operational window required</x:v>
      </x:c>
    </x:row>
    <x:row r="30" ht="42" customHeight="1">
      <x:c r="A30" s="26" t="str">
        <x:v>MISS-023</x:v>
      </x:c>
      <x:c r="B30" s="26" t="str">
        <x:v>P1</x:v>
      </x:c>
      <x:c r="C30" s="26" t="str">
        <x:v>Governance drift</x:v>
      </x:c>
      <x:c r="D30" s="26" t="str">
        <x:v>Product positioning previously described app-only endpoints</x:v>
      </x:c>
      <x:c r="E30" s="26" t="str">
        <x:v>TESTED</x:v>
      </x:c>
      <x:c r="F30" s="26" t="str">
        <x:v>PRODUCT-POSITIONING-CURRENT.md now records Public Website/Web Workspace/Desktop/Mobile and the blocking Only-One validator requires them</x:v>
      </x:c>
      <x:c r="G30" s="26" t="str">
        <x:v>Preserve the approved four-surface wording; implementation remains assigned to its scheduled rounds</x:v>
      </x:c>
      <x:c r="H30" s="26" t="str">
        <x:v>Sol / Product Architecture</x:v>
      </x:c>
      <x:c r="I30" s="26" t="n">
        <x:v>2</x:v>
      </x:c>
      <x:c r="J30" s="26" t="str">
        <x:v>000–005, 019</x:v>
      </x:c>
      <x:c r="K30" s="26" t="str">
        <x:v>Current authorities and validators state four surfaces consistently; absent runtime surfaces are not reported as implemented</x:v>
      </x:c>
      <x:c r="L30" s="26" t="str">
        <x:v>Architecture approved; no implementation claim</x:v>
      </x:c>
    </x:row>
    <x:row r="31" ht="42" customHeight="1">
      <x:c r="A31" s="26" t="str">
        <x:v>MISS-024</x:v>
      </x:c>
      <x:c r="B31" s="26" t="str">
        <x:v>P1</x:v>
      </x:c>
      <x:c r="C31" s="26" t="str">
        <x:v>Launch path drift</x:v>
      </x:c>
      <x:c r="D31" s="26" t="str">
        <x:v>Launch plan previously referenced the broader D:\LUMENIS_REBUILD path</x:v>
      </x:c>
      <x:c r="E31" s="26" t="str">
        <x:v>TESTED</x:v>
      </x:c>
      <x:c r="F31" s="26" t="str">
        <x:v>LAUNCH-CONVERGENCE-MASTER-PLAN-V1.md is now a subordinate Round 15 gate and resolves D:\LUMENIS_REBUILD\序\序境</x:v>
      </x:c>
      <x:c r="G31" s="26" t="str">
        <x:v>Preserve the canonical path and subordinate launch-gate role</x:v>
      </x:c>
      <x:c r="H31" s="26" t="str">
        <x:v>Sol / Runtime</x:v>
      </x:c>
      <x:c r="I31" s="26" t="n">
        <x:v>2</x:v>
      </x:c>
      <x:c r="J31" s="26" t="str">
        <x:v>017, 019</x:v>
      </x:c>
      <x:c r="K31" s="26" t="str">
        <x:v>All launch/runbooks resolve the canonical repository and actual entrypoint</x:v>
      </x:c>
      <x:c r="L31" s="26" t="str">
        <x:v>No relocation</x:v>
      </x:c>
    </x:row>
    <x:row r="32" ht="42" customHeight="1">
      <x:c r="A32" s="26" t="str">
        <x:v>MISS-025</x:v>
      </x:c>
      <x:c r="B32" s="26" t="str">
        <x:v>P1</x:v>
      </x:c>
      <x:c r="C32" s="26" t="str">
        <x:v>Binding registry freshness</x:v>
      </x:c>
      <x:c r="D32" s="26" t="str">
        <x:v>54-row registry generated from old SHA</x:v>
      </x:c>
      <x:c r="E32" s="26" t="str">
        <x:v>PARTIAL</x:v>
      </x:c>
      <x:c r="F32" s="26" t="str">
        <x:v>generated_from_head=76fbe1af; current=df15a99d</x:v>
      </x:c>
      <x:c r="G32" s="26" t="str">
        <x:v>Re-resolve every affected row when its round begins; do not blanket mark verified</x:v>
      </x:c>
      <x:c r="H32" s="26" t="str">
        <x:v>Experience/owners</x:v>
      </x:c>
      <x:c r="I32" s="26" t="n">
        <x:v>1</x:v>
      </x:c>
      <x:c r="J32" s="26" t="str">
        <x:v>all screen backend tasks</x:v>
      </x:c>
      <x:c r="K32" s="26" t="str">
        <x:v>Row includes current SHA/owner/callers/permission/evidence/tests/runtime</x:v>
      </x:c>
      <x:c r="L32" s="26" t="str">
        <x:v>No new API from gap ledger</x:v>
      </x:c>
    </x:row>
    <x:row r="33" ht="42" customHeight="1">
      <x:c r="A33" s="26" t="str">
        <x:v>MISS-026</x:v>
      </x:c>
      <x:c r="B33" s="26" t="str">
        <x:v>P1</x:v>
      </x:c>
      <x:c r="C33" s="26" t="str">
        <x:v>Function map</x:v>
      </x:c>
      <x:c r="D33" s="26" t="str">
        <x:v>Legacy function_map.json has 11/30 statically unmatched endpoint claims</x:v>
      </x:c>
      <x:c r="E33" s="26" t="str">
        <x:v>PARTIAL</x:v>
      </x:c>
      <x:c r="F33" s="26" t="str">
        <x:v>Static AST route comparison; dynamic registration not fully ruled out</x:v>
      </x:c>
      <x:c r="G33" s="26" t="str">
        <x:v>Verify runtime url map/callers; preserve unique behavior; absorb or label obsolete</x:v>
      </x:c>
      <x:c r="H33" s="26" t="str">
        <x:v>Product Core/API</x:v>
      </x:c>
      <x:c r="I33" s="26" t="n">
        <x:v>2</x:v>
      </x:c>
      <x:c r="J33" s="26" t="str">
        <x:v>004–005, 019</x:v>
      </x:c>
      <x:c r="K33" s="26" t="str">
        <x:v>Every catalog function resolves to one current callable or explicit blocked/retired record</x:v>
      </x:c>
      <x:c r="L33" s="26" t="str">
        <x:v>No bulk deletion</x:v>
      </x:c>
    </x:row>
    <x:row r="34" ht="42" customHeight="1">
      <x:c r="A34" s="26" t="str">
        <x:v>MISS-027</x:v>
      </x:c>
      <x:c r="B34" s="26" t="str">
        <x:v>P1</x:v>
      </x:c>
      <x:c r="C34" s="26" t="str">
        <x:v>CTH external data</x:v>
      </x:c>
      <x:c r="D34" s="26" t="str">
        <x:v>Footfall/member sales/MDM relationships unavailable</x:v>
      </x:c>
      <x:c r="E34" s="26" t="str">
        <x:v>BLOCKED</x:v>
      </x:c>
      <x:c r="F34" s="26" t="str">
        <x:v>CTH-01/02 binding blockers</x:v>
      </x:c>
      <x:c r="G34" s="26" t="str">
        <x:v>Integrate only approved POS/CRM/MDM contracts; keep NOT_COLLECTED</x:v>
      </x:c>
      <x:c r="H34" s="26" t="str">
        <x:v>CTH</x:v>
      </x:c>
      <x:c r="I34" s="26" t="n">
        <x:v>9</x:v>
      </x:c>
      <x:c r="J34" s="26" t="str">
        <x:v>041–048</x:v>
      </x:c>
      <x:c r="K34" s="26" t="str">
        <x:v>No missing→0; source/period/owner and permission visible</x:v>
      </x:c>
      <x:c r="L34" s="26" t="str">
        <x:v>External data/vendor approval required</x:v>
      </x:c>
    </x:row>
    <x:row r="35" ht="42" customHeight="1">
      <x:c r="A35" s="26" t="str">
        <x:v>MISS-028</x:v>
      </x:c>
      <x:c r="B35" s="26" t="str">
        <x:v>P1</x:v>
      </x:c>
      <x:c r="C35" s="26" t="str">
        <x:v>CTH closed loop</x:v>
      </x:c>
      <x:c r="D35" s="26" t="str">
        <x:v>Case/decision/action/outcome is not executable in surfaces</x:v>
      </x:c>
      <x:c r="E35" s="26" t="str">
        <x:v>PARTIAL</x:v>
      </x:c>
      <x:c r="F35" s="26" t="str">
        <x:v>Backend fragments exist; CTH-08..10 App absent</x:v>
      </x:c>
      <x:c r="G35" s="26" t="str">
        <x:v>Close source-backed case/risk/decision/action/outcome/report chain</x:v>
      </x:c>
      <x:c r="H35" s="26" t="str">
        <x:v>CTH + Shared/SYSTEM</x:v>
      </x:c>
      <x:c r="I35" s="26" t="n">
        <x:v>11</x:v>
      </x:c>
      <x:c r="J35" s="26" t="str">
        <x:v>069–080, 202</x:v>
      </x:c>
      <x:c r="K35" s="26" t="str">
        <x:v>Real permitted action and outcome evaluation with Evidence lineage</x:v>
      </x:c>
      <x:c r="L35" s="26" t="str">
        <x:v>No simulated effect</x:v>
      </x:c>
    </x:row>
    <x:row r="36" ht="42" customHeight="1">
      <x:c r="A36" s="26" t="str">
        <x:v>MISS-029</x:v>
      </x:c>
      <x:c r="B36" s="26" t="str">
        <x:v>P1</x:v>
      </x:c>
      <x:c r="C36" s="26" t="str">
        <x:v>BMP closed loop</x:v>
      </x:c>
      <x:c r="D36" s="26" t="str">
        <x:v>Market→creator/content→campaign→evaluation not executable in surfaces</x:v>
      </x:c>
      <x:c r="E36" s="26" t="str">
        <x:v>PARTIAL</x:v>
      </x:c>
      <x:c r="F36" s="26" t="str">
        <x:v>Backend fragments/builders; BMP-02..11 App absent</x:v>
      </x:c>
      <x:c r="G36" s="26" t="str">
        <x:v>Close BrandFocus-scoped workflow</x:v>
      </x:c>
      <x:c r="H36" s="26" t="str">
        <x:v>BMP + Shared</x:v>
      </x:c>
      <x:c r="I36" s="26" t="n">
        <x:v>12</x:v>
      </x:c>
      <x:c r="J36" s="26" t="str">
        <x:v>085–124, 203</x:v>
      </x:c>
      <x:c r="K36" s="26" t="str">
        <x:v>Real plan/content/campaign result/evaluation with source lineage</x:v>
      </x:c>
      <x:c r="L36" s="26" t="str">
        <x:v>No cross-brand leakage</x:v>
      </x:c>
    </x:row>
    <x:row r="37" ht="42" customHeight="1">
      <x:c r="A37" s="26" t="str">
        <x:v>MISS-030</x:v>
      </x:c>
      <x:c r="B37" s="26" t="str">
        <x:v>P1</x:v>
      </x:c>
      <x:c r="C37" s="26" t="str">
        <x:v>Content studio</x:v>
      </x:c>
      <x:c r="D37" s="26" t="str">
        <x:v>SH-01 current App is catalog-only, not a creation studio</x:v>
      </x:c>
      <x:c r="E37" s="26" t="str">
        <x:v>PARTIAL</x:v>
      </x:c>
      <x:c r="F37" s="26" t="str">
        <x:v>SH-01 spec explicitly blocks studio; shared skill catalog works</x:v>
      </x:c>
      <x:c r="G37" s="26" t="str">
        <x:v>Implement brief/evidence/editor/version/review/approval/artifact path</x:v>
      </x:c>
      <x:c r="H37" s="26" t="str">
        <x:v>Shared Creation</x:v>
      </x:c>
      <x:c r="I37" s="26" t="n">
        <x:v>9</x:v>
      </x:c>
      <x:c r="J37" s="26" t="str">
        <x:v>177–180, 205</x:v>
      </x:c>
      <x:c r="K37" s="26" t="str">
        <x:v>Real artifact with citations, version, approval and outcome</x:v>
      </x:c>
      <x:c r="L37" s="26" t="str">
        <x:v>Publish remains gated</x:v>
      </x:c>
    </x:row>
    <x:row r="38" ht="42" customHeight="1">
      <x:c r="A38" s="26" t="str">
        <x:v>MISS-031</x:v>
      </x:c>
      <x:c r="B38" s="26" t="str">
        <x:v>P1</x:v>
      </x:c>
      <x:c r="C38" s="26" t="str">
        <x:v>Podcast</x:v>
      </x:c>
      <x:c r="D38" s="26" t="str">
        <x:v>Backend/store exists but no product studio</x:v>
      </x:c>
      <x:c r="E38" s="26" t="str">
        <x:v>PARTIAL</x:v>
      </x:c>
      <x:c r="F38" s="26" t="str">
        <x:v>podcast_routes.py/podcast_store.py; BMP-08 App absent</x:v>
      </x:c>
      <x:c r="G38" s="26" t="str">
        <x:v>Implement audio-first source/timecode/version workflow</x:v>
      </x:c>
      <x:c r="H38" s="26" t="str">
        <x:v>BMP/Shared</x:v>
      </x:c>
      <x:c r="I38" s="26" t="n">
        <x:v>13</x:v>
      </x:c>
      <x:c r="J38" s="26" t="str">
        <x:v>109–112</x:v>
      </x:c>
      <x:c r="K38" s="26" t="str">
        <x:v>Rights/source review and versioned export accepted</x:v>
      </x:c>
      <x:c r="L38" s="26" t="str">
        <x:v>Media/rights policy may need PO</x:v>
      </x:c>
    </x:row>
    <x:row r="39" ht="42" customHeight="1">
      <x:c r="A39" s="26" t="str">
        <x:v>MISS-032</x:v>
      </x:c>
      <x:c r="B39" s="26" t="str">
        <x:v>P1</x:v>
      </x:c>
      <x:c r="C39" s="26" t="str">
        <x:v>Internal browser</x:v>
      </x:c>
      <x:c r="D39" s="26" t="str">
        <x:v>SYS-06 product capture workspace absent</x:v>
      </x:c>
      <x:c r="E39" s="26" t="str">
        <x:v>PARTIAL</x:v>
      </x:c>
      <x:c r="F39" s="26" t="str">
        <x:v>Browser backends/runtime code present; no Flutter screen</x:v>
      </x:c>
      <x:c r="G39" s="26" t="str">
        <x:v>Implement controlled evidence capture, not personal browser</x:v>
      </x:c>
      <x:c r="H39" s="26" t="str">
        <x:v>SYSTEM Browser</x:v>
      </x:c>
      <x:c r="I39" s="26" t="n">
        <x:v>14</x:v>
      </x:c>
      <x:c r="J39" s="26" t="str">
        <x:v>165–168</x:v>
      </x:c>
      <x:c r="K39" s="26" t="str">
        <x:v>Allowed navigation→capture→Evidence→audit/return</x:v>
      </x:c>
      <x:c r="L39" s="26" t="str">
        <x:v>Desktop capability only for local CDP</x:v>
      </x:c>
    </x:row>
    <x:row r="40" ht="42" customHeight="1">
      <x:c r="A40" s="26" t="str">
        <x:v>MISS-033</x:v>
      </x:c>
      <x:c r="B40" s="26" t="str">
        <x:v>P1</x:v>
      </x:c>
      <x:c r="C40" s="26" t="str">
        <x:v>Notifications/tasks</x:v>
      </x:c>
      <x:c r="D40" s="26" t="str">
        <x:v>SH-06 and Mobile task/approval inbox absent</x:v>
      </x:c>
      <x:c r="E40" s="26" t="str">
        <x:v>EXISTS_BUT_UNSCOPED</x:v>
      </x:c>
      <x:c r="F40" s="26" t="str">
        <x:v>TaskEngine/alerts/notifiers exist globally</x:v>
      </x:c>
      <x:c r="G40" s="26" t="str">
        <x:v>Add actor-scoped inbox with origin/return</x:v>
      </x:c>
      <x:c r="H40" s="26" t="str">
        <x:v>SYSTEM TaskEngine</x:v>
      </x:c>
      <x:c r="I40" s="26" t="n">
        <x:v>14</x:v>
      </x:c>
      <x:c r="J40" s="26" t="str">
        <x:v>197–200</x:v>
      </x:c>
      <x:c r="K40" s="26" t="str">
        <x:v>No cross-scope task leakage; actions permissioned and reversible</x:v>
      </x:c>
      <x:c r="L40" s="26" t="str">
        <x:v>External notification channels conditional</x:v>
      </x:c>
    </x:row>
    <x:row r="41" ht="42" customHeight="1">
      <x:c r="A41" s="26" t="str">
        <x:v>MISS-034</x:v>
      </x:c>
      <x:c r="B41" s="26" t="str">
        <x:v>P1</x:v>
      </x:c>
      <x:c r="C41" s="26" t="str">
        <x:v>Knowledge assets</x:v>
      </x:c>
      <x:c r="D41" s="26" t="str">
        <x:v>Resource/intelligence/case libraries lack one current authority and complete entry points</x:v>
      </x:c>
      <x:c r="E41" s="26" t="str">
        <x:v>PARTIAL</x:v>
      </x:c>
      <x:c r="F41" s="26" t="str">
        <x:v>Multiple libraries, admissions and historical assets</x:v>
      </x:c>
      <x:c r="G41" s="26" t="str">
        <x:v>Classify operational vs provenance; expose only verified assets</x:v>
      </x:c>
      <x:c r="H41" s="26" t="str">
        <x:v>Shared/CTH/BMP</x:v>
      </x:c>
      <x:c r="I41" s="26" t="n">
        <x:v>11</x:v>
      </x:c>
      <x:c r="J41" s="26" t="str">
        <x:v>CTH-08, SH-05, 221</x:v>
      </x:c>
      <x:c r="K41" s="26" t="str">
        <x:v>Each asset has owner/version/source/review status and no duplicate truth</x:v>
      </x:c>
      <x:c r="L41" s="26" t="str">
        <x:v>No bulk archive/delete</x:v>
      </x:c>
    </x:row>
    <x:row r="42" ht="42" customHeight="1">
      <x:c r="A42" s="26" t="str">
        <x:v>MISS-035</x:v>
      </x:c>
      <x:c r="B42" s="26" t="str">
        <x:v>P1</x:v>
      </x:c>
      <x:c r="C42" s="26" t="str">
        <x:v>OpenCode engineering</x:v>
      </x:c>
      <x:c r="D42" s="26" t="str">
        <x:v>Configured provider fails authentication</x:v>
      </x:c>
      <x:c r="E42" s="26" t="str">
        <x:v>BLOCKED</x:v>
      </x:c>
      <x:c r="F42" s="26" t="str">
        <x:v>opencode run with zhipu/glm-4.5-air returned authentication failure</x:v>
      </x:c>
      <x:c r="G42" s="26" t="str">
        <x:v>Repair user-level provider auth outside product source; re-test read-only</x:v>
      </x:c>
      <x:c r="H42" s="26" t="str">
        <x:v>Codex workstation config</x:v>
      </x:c>
      <x:c r="I42" s="26" t="n">
        <x:v>1</x:v>
      </x:c>
      <x:c r="J42" s="26" t="str">
        <x:v>Engineering support only</x:v>
      </x:c>
      <x:c r="K42" s="26" t="str">
        <x:v>Bounded read-only command succeeds without exposing credential</x:v>
      </x:c>
      <x:c r="L42" s="26" t="str">
        <x:v>Credential update must stay user-level</x:v>
      </x:c>
    </x:row>
    <x:row r="43" ht="42" customHeight="1">
      <x:c r="A43" s="26" t="str">
        <x:v>MISS-036</x:v>
      </x:c>
      <x:c r="B43" s="26" t="str">
        <x:v>P2</x:v>
      </x:c>
      <x:c r="C43" s="26" t="str">
        <x:v>Accessibility</x:v>
      </x:c>
      <x:c r="D43" s="26" t="str">
        <x:v>No complete keyboard/screen-reader/reduced-motion/device matrix</x:v>
      </x:c>
      <x:c r="E43" s="26" t="str">
        <x:v>PARTIAL</x:v>
      </x:c>
      <x:c r="F43" s="26" t="str">
        <x:v>Current Flutter semantics/tests cover only six slices</x:v>
      </x:c>
      <x:c r="G43" s="26" t="str">
        <x:v>Per-screen surface acceptance</x:v>
      </x:c>
      <x:c r="H43" s="26" t="str">
        <x:v>Experience</x:v>
      </x:c>
      <x:c r="I43" s="26" t="n">
        <x:v>15</x:v>
      </x:c>
      <x:c r="J43" s="26" t="str">
        <x:v>213</x:v>
      </x:c>
      <x:c r="K43" s="26" t="str">
        <x:v>WCAG/platform checks plus real device evidence</x:v>
      </x:c>
      <x:c r="L43" s="26" t="str">
        <x:v>No special architecture decision</x:v>
      </x:c>
    </x:row>
    <x:row r="44" ht="42" customHeight="1">
      <x:c r="A44" s="26" t="str">
        <x:v>MISS-037</x:v>
      </x:c>
      <x:c r="B44" s="26" t="str">
        <x:v>P2</x:v>
      </x:c>
      <x:c r="C44" s="26" t="str">
        <x:v>Localization</x:v>
      </x:c>
      <x:c r="D44" s="26" t="str">
        <x:v>Three-language coverage and long-text layouts incomplete</x:v>
      </x:c>
      <x:c r="E44" s="26" t="str">
        <x:v>PARTIAL</x:v>
      </x:c>
      <x:c r="F44" s="26" t="str">
        <x:v>i18n deltas exist; App currently limited</x:v>
      </x:c>
      <x:c r="G44" s="26" t="str">
        <x:v>Complete copy ownership and pseudo/long-text acceptance</x:v>
      </x:c>
      <x:c r="H44" s="26" t="str">
        <x:v>Experience</x:v>
      </x:c>
      <x:c r="I44" s="26" t="n">
        <x:v>8</x:v>
      </x:c>
      <x:c r="J44" s="26" t="str">
        <x:v>023</x:v>
      </x:c>
      <x:c r="K44" s="26" t="str">
        <x:v>No truncation/meaning drift across applicable screens/surfaces</x:v>
      </x:c>
      <x:c r="L44" s="26" t="str">
        <x:v>Language set already defined</x:v>
      </x:c>
    </x:row>
    <x:row r="45" ht="42" customHeight="1">
      <x:c r="A45" s="26" t="str">
        <x:v>MISS-038</x:v>
      </x:c>
      <x:c r="B45" s="26" t="str">
        <x:v>P2</x:v>
      </x:c>
      <x:c r="C45" s="26" t="str">
        <x:v>Performance/long-run</x:v>
      </x:c>
      <x:c r="D45" s="26" t="str">
        <x:v>No current release-grade long-run evidence</x:v>
      </x:c>
      <x:c r="E45" s="26" t="str">
        <x:v>ABSENT</x:v>
      </x:c>
      <x:c r="F45" s="26" t="str">
        <x:v>Tier C list; no current artifact</x:v>
      </x:c>
      <x:c r="G45" s="26" t="str">
        <x:v>Measure web/desktop/mobile/runtime/collector/AI under realistic loads</x:v>
      </x:c>
      <x:c r="H45" s="26" t="str">
        <x:v>SYSTEM Release</x:v>
      </x:c>
      <x:c r="I45" s="26" t="n">
        <x:v>15</x:v>
      </x:c>
      <x:c r="J45" s="26" t="str">
        <x:v>214, 216</x:v>
      </x:c>
      <x:c r="K45" s="26" t="str">
        <x:v>Budgets and recovery accepted for current SHA</x:v>
      </x:c>
      <x:c r="L45" s="26" t="str">
        <x:v>Hardware/environment required</x:v>
      </x:c>
    </x:row>
    <x:row r="46" ht="42" customHeight="1">
      <x:c r="A46" s="26" t="str">
        <x:v>MISS-039</x:v>
      </x:c>
      <x:c r="B46" s="26" t="str">
        <x:v>P2</x:v>
      </x:c>
      <x:c r="C46" s="26" t="str">
        <x:v>Public commercial funnel</x:v>
      </x:c>
      <x:c r="D46" s="26" t="str">
        <x:v>Trial/contact/help/case/demo/enterprise purchase funnel absent</x:v>
      </x:c>
      <x:c r="E46" s="26" t="str">
        <x:v>ABSENT</x:v>
      </x:c>
      <x:c r="F46" s="26" t="str">
        <x:v>No Public Website</x:v>
      </x:c>
      <x:c r="G46" s="26" t="str">
        <x:v>Define truthful content and CRM/contact handoff without product data ownership</x:v>
      </x:c>
      <x:c r="H46" s="26" t="str">
        <x:v>Public Website/Product</x:v>
      </x:c>
      <x:c r="I46" s="26" t="n">
        <x:v>8</x:v>
      </x:c>
      <x:c r="J46" s="26" t="str">
        <x:v>Multi-surface delta</x:v>
      </x:c>
      <x:c r="K46" s="26" t="str">
        <x:v>Public→trial/contact/login path works and privacy/analytics are approved</x:v>
      </x:c>
      <x:c r="L46" s="26" t="str">
        <x:v>CRM/analytics choices conditional</x:v>
      </x:c>
    </x:row>
    <x:row r="47" ht="42" customHeight="1">
      <x:c r="A47" s="26" t="str">
        <x:v>MISS-040</x:v>
      </x:c>
      <x:c r="B47" s="26" t="str">
        <x:v>P2</x:v>
      </x:c>
      <x:c r="C47" s="26" t="str">
        <x:v>API/OpenAPI parity</x:v>
      </x:c>
      <x:c r="D47" s="26" t="str">
        <x:v>Static route volume and compatibility paths exceed current canonical contract</x:v>
      </x:c>
      <x:c r="E47" s="26" t="str">
        <x:v>PARTIAL</x:v>
      </x:c>
      <x:c r="F47" s="26" t="str">
        <x:v>800 decorators; generated docs/history not current proof</x:v>
      </x:c>
      <x:c r="G47" s="26" t="str">
        <x:v>Generate canonical API truth from active app and verify consumers</x:v>
      </x:c>
      <x:c r="H47" s="26" t="str">
        <x:v>Product Core/API</x:v>
      </x:c>
      <x:c r="I47" s="26" t="n">
        <x:v>2</x:v>
      </x:c>
      <x:c r="J47" s="26" t="str">
        <x:v>004–005</x:v>
      </x:c>
      <x:c r="K47" s="26" t="str">
        <x:v>One operation/owner/schema/error/state per consumer route</x:v>
      </x:c>
      <x:c r="L47" s="26" t="str">
        <x:v>No API expansion by assumption</x:v>
      </x:c>
    </x:row>
  </x:sheetData>
  <x:mergeCells>
    <x:mergeCell ref="A1:L1"/>
    <x:mergeCell ref="A2:L2"/>
  </x:mergeCells>
  <x:conditionalFormatting sqref="B8:B47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conditionalFormatting sqref="E8:E47">
    <x:cfRule type="containsText" dxfId="3" priority="4" operator="containsText" text="ABSENT"/>
    <x:cfRule type="containsText" dxfId="4" priority="5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68dd562c136d4934"/>
  </x:tableParts>
</x:worksheet>
</file>

<file path=xl/worksheets/sheet2.xml><?xml version="1.0" encoding="utf-8"?>
<x:worksheet xmlns:x="http://schemas.openxmlformats.org/spreadsheetml/2006/main">
  <x:sheetPr>
    <x:tabColor rgb="FF4858A8"/>
  </x:sheetPr>
  <x:sheetViews>
    <x:sheetView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0" hidden="0" customWidth="1"/>
    <x:col min="4" max="4" width="18" hidden="0" customWidth="1"/>
    <x:col min="5" max="5" width="10" hidden="0" customWidth="1"/>
    <x:col min="6" max="6" width="12" hidden="0" customWidth="1"/>
    <x:col min="7" max="7" width="12" hidden="0" customWidth="1"/>
    <x:col min="8" max="8" width="26" hidden="0" customWidth="1"/>
    <x:col min="9" max="9" width="28" hidden="0" customWidth="1"/>
    <x:col min="10" max="10" width="28" hidden="0" customWidth="1"/>
    <x:col min="11" max="11" width="28" hidden="0" customWidth="1"/>
    <x:col min="12" max="12" width="8" hidden="0" customWidth="1"/>
    <x:col min="13" max="13" width="12" hidden="0" customWidth="1"/>
    <x:col min="14" max="14" width="25" hidden="0" customWidth="1"/>
    <x:col min="15" max="15" width="36" hidden="0" customWidth="1"/>
    <x:col min="16" max="16" width="40" hidden="0" customWidth="1"/>
    <x:col min="17" max="17" width="38" hidden="0" customWidth="1"/>
    <x:col min="18" max="18" width="38" hidden="0" customWidth="1"/>
  </x:cols>
  <x:sheetData>
    <x:row r="1" ht="34" customHeight="1">
      <x:c r="A1" s="3" t="str">
        <x:v>44 Screen × 四表面覆盖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2" customHeight="1">
      <x:c r="A2" s="7" t="str">
        <x:v>运行接口可返回不等于产品页面存在；当前仅 6 份详细规格和 6 个 Flutter Screen。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4" customHeight="1">
      <x:c r="A4" s="22" t="str">
        <x:v>Screen</x:v>
      </x:c>
      <x:c r="B4" s="22" t="str">
        <x:v>Blueprint</x:v>
      </x:c>
      <x:c r="C4" s="22" t="str">
        <x:v>详细规格</x:v>
      </x:c>
      <x:c r="D4" s="22" t="str">
        <x:v>Binding 状态</x:v>
      </x:c>
      <x:c r="E4" s="22" t="str">
        <x:v>Runtime HTTP</x:v>
      </x:c>
      <x:c r="F4" s="22" t="str">
        <x:v>Runtime bound</x:v>
      </x:c>
      <x:c r="G4" s="22" t="str">
        <x:v>Flutter</x:v>
      </x:c>
      <x:c r="H4" s="22" t="str">
        <x:v>Public Website</x:v>
      </x:c>
      <x:c r="I4" s="22" t="str">
        <x:v>Web Workspace</x:v>
      </x:c>
      <x:c r="J4" s="22" t="str">
        <x:v>Desktop</x:v>
      </x:c>
      <x:c r="K4" s="22" t="str">
        <x:v>Mobile</x:v>
      </x:c>
      <x:c r="L4" s="22" t="str">
        <x:v>Round</x:v>
      </x:c>
      <x:c r="M4" s="22" t="str">
        <x:v>PDF 页</x:v>
      </x:c>
      <x:c r="N4" s="22" t="str">
        <x:v>PDF Tasks</x:v>
      </x:c>
      <x:c r="O4" s="22" t="str">
        <x:v>Interaction</x:v>
      </x:c>
      <x:c r="P4" s="22" t="str">
        <x:v>Recomposition</x:v>
      </x:c>
      <x:c r="Q4" s="22" t="str">
        <x:v>源码文件</x:v>
      </x:c>
      <x:c r="R4" s="22" t="str">
        <x:v>判定</x:v>
      </x:c>
    </x:row>
    <x:row r="5" ht="42" customHeight="1">
      <x:c r="A5" s="26" t="str">
        <x:v>ACC-01</x:v>
      </x:c>
      <x:c r="B5" s="26" t="str">
        <x:v>Authentication entry</x:v>
      </x:c>
      <x:c r="C5" s="26" t="str">
        <x:v>NO</x:v>
      </x:c>
      <x:c r="D5" s="26" t="str">
        <x:v>PARTIAL:1</x:v>
      </x:c>
      <x:c r="E5" s="26" t="n">
        <x:v>200</x:v>
      </x:c>
      <x:c r="F5" s="26" t="str">
        <x:v>true</x:v>
      </x:c>
      <x:c r="G5" s="26" t="str">
        <x:v>BLOCKED</x:v>
      </x:c>
      <x:c r="H5" s="26" t="str">
        <x:v>试用/登录/进入工作区入口 [ABSENT]</x:v>
      </x:c>
      <x:c r="I5" s="26" t="str">
        <x:v>商业入口；pre-beta 不设产品账号墙 [ABSENT]</x:v>
      </x:c>
      <x:c r="J5" s="26" t="str">
        <x:v>企业身份与私有部署入口 [ABSENT]</x:v>
      </x:c>
      <x:c r="K5" s="26" t="str">
        <x:v>后 beta 登录/恢复；pre-beta 不阻断 [ABSENT]</x:v>
      </x:c>
      <x:c r="L5" s="26" t="n">
        <x:v>14</x:v>
      </x:c>
      <x:c r="M5" s="26" t="str">
        <x:v>36–39, 230</x:v>
      </x:c>
      <x:c r="N5" s="26" t="str">
        <x:v>SOL-025, LUNA-026, LUNA-027, LUNA-028, LUNA-219</x:v>
      </x:c>
      <x:c r="O5" s="26" t="str">
        <x:v>Enter credentials or select a supported sign-in method; show validation, pending, rejected and recovered states distinctly.</x:v>
      </x:c>
      <x:c r="P5" s="26" t="str">
        <x:v>Centered form with help/status pane → single-column form with touch-safe fields and explicit return.</x:v>
      </x:c>
      <x:c r="Q5" s="26" t="str">
        <x:v>—</x:v>
      </x:c>
      <x:c r="R5" s="26" t="str">
        <x:v>Backend builder/contract may exist, but no canonical Flutter Experience slice or detailed spec.</x:v>
      </x:c>
    </x:row>
    <x:row r="6" ht="42" customHeight="1">
      <x:c r="A6" s="26" t="str">
        <x:v>ACC-02</x:v>
      </x:c>
      <x:c r="B6" s="26" t="str">
        <x:v>Subject and lens selection</x:v>
      </x:c>
      <x:c r="C6" s="26" t="str">
        <x:v>NO</x:v>
      </x:c>
      <x:c r="D6" s="26" t="str">
        <x:v>PARTIAL:1</x:v>
      </x:c>
      <x:c r="E6" s="26" t="n">
        <x:v>200</x:v>
      </x:c>
      <x:c r="F6" s="26" t="str">
        <x:v>true</x:v>
      </x:c>
      <x:c r="G6" s="26" t="str">
        <x:v>BLOCKED</x:v>
      </x:c>
      <x:c r="H6" s="26" t="str">
        <x:v>能力说明 / 受控 Demo；不持有生产业务真相 [ABSENT]</x:v>
      </x:c>
      <x:c r="I6" s="26" t="str">
        <x:v>主入口（受产品账号时序约束） [ABSENT]</x:v>
      </x:c>
      <x:c r="J6" s="26" t="str">
        <x:v>完整身份/恢复能力 [ABSENT]</x:v>
      </x:c>
      <x:c r="K6" s="26" t="str">
        <x:v>查看、恢复、轻量确认 [ABSENT]</x:v>
      </x:c>
      <x:c r="L6" s="26" t="n">
        <x:v>14</x:v>
      </x:c>
      <x:c r="M6" s="26" t="str">
        <x:v>40–43</x:v>
      </x:c>
      <x:c r="N6" s="26" t="str">
        <x:v>SOL-029, LUNA-030, LUNA-031, LUNA-032</x:v>
      </x:c>
      <x:c r="O6" s="26" t="str">
        <x:v>Search/select an authorized Subject, then confirm an available lens; server response controls the destination.</x:v>
      </x:c>
      <x:c r="P6" s="26" t="str">
        <x:v>Searchable split list/detail → searchable full-screen list then focused subject confirmation.</x:v>
      </x:c>
      <x:c r="Q6" s="26" t="str">
        <x:v>—</x:v>
      </x:c>
      <x:c r="R6" s="26" t="str">
        <x:v>Backend builder/contract may exist, but no canonical Flutter Experience slice or detailed spec.</x:v>
      </x:c>
    </x:row>
    <x:row r="7" ht="42" customHeight="1">
      <x:c r="A7" s="26" t="str">
        <x:v>ACC-03</x:v>
      </x:c>
      <x:c r="B7" s="26" t="str">
        <x:v>Workspace launch</x:v>
      </x:c>
      <x:c r="C7" s="26" t="str">
        <x:v>NO</x:v>
      </x:c>
      <x:c r="D7" s="26" t="str">
        <x:v>PARTIAL:1</x:v>
      </x:c>
      <x:c r="E7" s="26" t="n">
        <x:v>200</x:v>
      </x:c>
      <x:c r="F7" s="26" t="str">
        <x:v>true</x:v>
      </x:c>
      <x:c r="G7" s="26" t="str">
        <x:v>BLOCKED</x:v>
      </x:c>
      <x:c r="H7" s="26" t="str">
        <x:v>能力说明 / 受控 Demo；不持有生产业务真相 [ABSENT]</x:v>
      </x:c>
      <x:c r="I7" s="26" t="str">
        <x:v>主入口（受产品账号时序约束） [ABSENT]</x:v>
      </x:c>
      <x:c r="J7" s="26" t="str">
        <x:v>完整身份/恢复能力 [ABSENT]</x:v>
      </x:c>
      <x:c r="K7" s="26" t="str">
        <x:v>查看、恢复、轻量确认 [ABSENT]</x:v>
      </x:c>
      <x:c r="L7" s="26" t="n">
        <x:v>14</x:v>
      </x:c>
      <x:c r="M7" s="26" t="str">
        <x:v>44–47</x:v>
      </x:c>
      <x:c r="N7" s="26" t="str">
        <x:v>SOL-033, LUNA-034, LUNA-035, LUNA-036</x:v>
      </x:c>
      <x:c r="O7" s="26" t="str">
        <x:v>Resume a restorable work context or start a named product task.</x:v>
      </x:c>
      <x:c r="P7" s="26" t="str">
        <x:v>Persistent domain rail plus recent-work canvas → compact destinations and one prominent resume/start action.</x:v>
      </x:c>
      <x:c r="Q7" s="26" t="str">
        <x:v>—</x:v>
      </x:c>
      <x:c r="R7" s="26" t="str">
        <x:v>Backend builder/contract may exist, but no canonical Flutter Experience slice or detailed spec.</x:v>
      </x:c>
    </x:row>
    <x:row r="8" ht="42" customHeight="1">
      <x:c r="A8" s="26" t="str">
        <x:v>ACC-04</x:v>
      </x:c>
      <x:c r="B8" s="26" t="str">
        <x:v>Access recovery and guard</x:v>
      </x:c>
      <x:c r="C8" s="26" t="str">
        <x:v>NO</x:v>
      </x:c>
      <x:c r="D8" s="26" t="str">
        <x:v>PARTIAL:1</x:v>
      </x:c>
      <x:c r="E8" s="26" t="n">
        <x:v>200</x:v>
      </x:c>
      <x:c r="F8" s="26" t="str">
        <x:v>true</x:v>
      </x:c>
      <x:c r="G8" s="26" t="str">
        <x:v>BLOCKED</x:v>
      </x:c>
      <x:c r="H8" s="26" t="str">
        <x:v>能力说明 / 受控 Demo；不持有生产业务真相 [ABSENT]</x:v>
      </x:c>
      <x:c r="I8" s="26" t="str">
        <x:v>主入口（受产品账号时序约束） [ABSENT]</x:v>
      </x:c>
      <x:c r="J8" s="26" t="str">
        <x:v>完整身份/恢复能力 [ABSENT]</x:v>
      </x:c>
      <x:c r="K8" s="26" t="str">
        <x:v>查看、恢复、轻量确认 [ABSENT]</x:v>
      </x:c>
      <x:c r="L8" s="26" t="n">
        <x:v>14</x:v>
      </x:c>
      <x:c r="M8" s="26" t="str">
        <x:v>48–51</x:v>
      </x:c>
      <x:c r="N8" s="26" t="str">
        <x:v>SOL-037, LUNA-038, LUNA-039, LUNA-040</x:v>
      </x:c>
      <x:c r="O8" s="26" t="str">
        <x:v>Retry, switch to authorized account/context, or request access through a real flow once verified.</x:v>
      </x:c>
      <x:c r="P8" s="26" t="str">
        <x:v>Diagnostic steps beside the attempted destination → sequential recovery cards with clear back path.</x:v>
      </x:c>
      <x:c r="Q8" s="26" t="str">
        <x:v>—</x:v>
      </x:c>
      <x:c r="R8" s="26" t="str">
        <x:v>Backend builder/contract may exist, but no canonical Flutter Experience slice or detailed spec.</x:v>
      </x:c>
    </x:row>
    <x:row r="9" ht="42" customHeight="1">
      <x:c r="A9" s="26" t="str">
        <x:v>CTH-01</x:v>
      </x:c>
      <x:c r="B9" s="26" t="str">
        <x:v>Commercial operations overview</x:v>
      </x:c>
      <x:c r="C9" s="26" t="str">
        <x:v>YES</x:v>
      </x:c>
      <x:c r="D9" s="26" t="str">
        <x:v>PARTIAL:3</x:v>
      </x:c>
      <x:c r="E9" s="26" t="n">
        <x:v>200</x:v>
      </x:c>
      <x:c r="F9" s="26" t="str">
        <x:v>true</x:v>
      </x:c>
      <x:c r="G9" s="26" t="str">
        <x:v>PARTIAL</x:v>
      </x:c>
      <x:c r="H9" s="26" t="str">
        <x:v>能力说明 / 受控 Demo；不持有生产业务真相 [ABSENT]</x:v>
      </x:c>
      <x:c r="I9" s="26" t="str">
        <x:v>主要商业运营入口 [ABSENT]</x:v>
      </x:c>
      <x:c r="J9" s="26" t="str">
        <x:v>实时采集/深度分析/本地执行增强 [PARTIAL]</x:v>
      </x:c>
      <x:c r="K9" s="26" t="str">
        <x:v>事件、结果、通知、审批 [PARTIAL]</x:v>
      </x:c>
      <x:c r="L9" s="26" t="n">
        <x:v>9</x:v>
      </x:c>
      <x:c r="M9" s="26" t="str">
        <x:v>52–55</x:v>
      </x:c>
      <x:c r="N9" s="26" t="str">
        <x:v>SOL-041, LUNA-042, LUNA-043, LUNA-044</x:v>
      </x:c>
      <x:c r="O9" s="26" t="str">
        <x:v>Scrub a change on the timeline, inspect its source, open/create a case or decision and trace the follow-up.</x:v>
      </x:c>
      <x:c r="P9" s="26" t="str">
        <x:v>Parallel metrics + timeline + action queue → one active signal with swipeable evidence and a contextual action sheet.</x:v>
      </x:c>
      <x:c r="Q9" s="26" t="str">
        <x:v>app/lib/features/cth/cth01/cth01_screen.dart</x:v>
      </x:c>
      <x:c r="R9" s="26" t="str">
        <x:v>Implemented Flutter slice, but full action/runtime/device acceptance remains open.</x:v>
      </x:c>
    </x:row>
    <x:row r="10" ht="42" customHeight="1">
      <x:c r="A10" s="26" t="str">
        <x:v>CTH-02</x:v>
      </x:c>
      <x:c r="B10" s="26" t="str">
        <x:v>Subject / business-unit profile</x:v>
      </x:c>
      <x:c r="C10" s="26" t="str">
        <x:v>YES</x:v>
      </x:c>
      <x:c r="D10" s="26" t="str">
        <x:v>PARTIAL:1</x:v>
      </x:c>
      <x:c r="E10" s="26" t="n">
        <x:v>200</x:v>
      </x:c>
      <x:c r="F10" s="26" t="str">
        <x:v>true</x:v>
      </x:c>
      <x:c r="G10" s="26" t="str">
        <x:v>PARTIAL</x:v>
      </x:c>
      <x:c r="H10" s="26" t="str">
        <x:v>能力说明 / 受控 Demo；不持有生产业务真相 [ABSENT]</x:v>
      </x:c>
      <x:c r="I10" s="26" t="str">
        <x:v>主要商业运营入口 [ABSENT]</x:v>
      </x:c>
      <x:c r="J10" s="26" t="str">
        <x:v>实时采集/深度分析/本地执行增强 [PARTIAL]</x:v>
      </x:c>
      <x:c r="K10" s="26" t="str">
        <x:v>事件、结果、通知、审批 [PARTIAL]</x:v>
      </x:c>
      <x:c r="L10" s="26" t="n">
        <x:v>9</x:v>
      </x:c>
      <x:c r="M10" s="26" t="str">
        <x:v>56–59</x:v>
      </x:c>
      <x:c r="N10" s="26" t="str">
        <x:v>SOL-045, LUNA-046, LUNA-047, LUNA-048</x:v>
      </x:c>
      <x:c r="O10" s="26" t="str">
        <x:v>Expand a relationship and inspect its provenance; switch the selected Subject only through the authorized context control.</x:v>
      </x:c>
      <x:c r="P10" s="26" t="str">
        <x:v>Hierarchical tree and relationship table → compact breadcrumb hierarchy with focused relationship cards.</x:v>
      </x:c>
      <x:c r="Q10" s="26" t="str">
        <x:v>app/lib/features/cth/cth02/cth02_screen.dart</x:v>
      </x:c>
      <x:c r="R10" s="26" t="str">
        <x:v>Implemented Flutter slice, but full action/runtime/device acceptance remains open.</x:v>
      </x:c>
    </x:row>
    <x:row r="11" ht="42" customHeight="1">
      <x:c r="A11" s="26" t="str">
        <x:v>CTH-03</x:v>
      </x:c>
      <x:c r="B11" s="26" t="str">
        <x:v>Real-time monitoring</x:v>
      </x:c>
      <x:c r="C11" s="26" t="str">
        <x:v>NO</x:v>
      </x:c>
      <x:c r="D11" s="26" t="str">
        <x:v>PARTIAL:1</x:v>
      </x:c>
      <x:c r="E11" s="26" t="n">
        <x:v>200</x:v>
      </x:c>
      <x:c r="F11" s="26" t="str">
        <x:v>true</x:v>
      </x:c>
      <x:c r="G11" s="26" t="str">
        <x:v>ABSENT</x:v>
      </x:c>
      <x:c r="H11" s="26" t="str">
        <x:v>能力说明 / 受控 Demo；不持有生产业务真相 [ABSENT]</x:v>
      </x:c>
      <x:c r="I11" s="26" t="str">
        <x:v>主要商业运营入口 [ABSENT]</x:v>
      </x:c>
      <x:c r="J11" s="26" t="str">
        <x:v>实时采集/深度分析/本地执行增强 [ABSENT]</x:v>
      </x:c>
      <x:c r="K11" s="26" t="str">
        <x:v>事件、结果、通知、审批 [ABSENT]</x:v>
      </x:c>
      <x:c r="L11" s="26" t="n">
        <x:v>10</x:v>
      </x:c>
      <x:c r="M11" s="26" t="str">
        <x:v>60–63</x:v>
      </x:c>
      <x:c r="N11" s="26" t="str">
        <x:v>SOL-049, LUNA-050, LUNA-051, LUNA-052</x:v>
      </x:c>
      <x:c r="O11" s="26" t="str">
        <x:v>Pause/resume viewing, pin an event, open source evidence; health actions remain permission-gated.</x:v>
      </x:c>
      <x:c r="P11" s="26" t="str">
        <x:v>Multi-source live board with filters → prioritized single stream and persistent freshness/connection badge.</x:v>
      </x:c>
      <x:c r="Q11" s="26" t="str">
        <x:v>—</x:v>
      </x:c>
      <x:c r="R11" s="26" t="str">
        <x:v>Backend builder/contract may exist, but no canonical Flutter Experience slice or detailed spec.</x:v>
      </x:c>
    </x:row>
    <x:row r="12" ht="42" customHeight="1">
      <x:c r="A12" s="26" t="str">
        <x:v>CTH-04</x:v>
      </x:c>
      <x:c r="B12" s="26" t="str">
        <x:v>Event relationships</x:v>
      </x:c>
      <x:c r="C12" s="26" t="str">
        <x:v>NO</x:v>
      </x:c>
      <x:c r="D12" s="26" t="str">
        <x:v>PARTIAL:1</x:v>
      </x:c>
      <x:c r="E12" s="26" t="n">
        <x:v>200</x:v>
      </x:c>
      <x:c r="F12" s="26" t="str">
        <x:v>true</x:v>
      </x:c>
      <x:c r="G12" s="26" t="str">
        <x:v>ABSENT</x:v>
      </x:c>
      <x:c r="H12" s="26" t="str">
        <x:v>能力说明 / 受控 Demo；不持有生产业务真相 [ABSENT]</x:v>
      </x:c>
      <x:c r="I12" s="26" t="str">
        <x:v>主要商业运营入口 [ABSENT]</x:v>
      </x:c>
      <x:c r="J12" s="26" t="str">
        <x:v>实时采集/深度分析/本地执行增强 [ABSENT]</x:v>
      </x:c>
      <x:c r="K12" s="26" t="str">
        <x:v>事件、结果、通知、审批 [ABSENT]</x:v>
      </x:c>
      <x:c r="L12" s="26" t="n">
        <x:v>10</x:v>
      </x:c>
      <x:c r="M12" s="26" t="str">
        <x:v>64–67</x:v>
      </x:c>
      <x:c r="N12" s="26" t="str">
        <x:v>SOL-053, LUNA-054, LUNA-055, LUNA-056</x:v>
      </x:c>
      <x:c r="O12" s="26" t="str">
        <x:v>Select a node to reveal linked evidence, navigate to its case, then Trace/Return to the same graph position.</x:v>
      </x:c>
      <x:c r="P12" s="26" t="str">
        <x:v>Interactive graph + synchronized timeline → vertical event path with evidence nodes and saved zoom/focus.</x:v>
      </x:c>
      <x:c r="Q12" s="26" t="str">
        <x:v>—</x:v>
      </x:c>
      <x:c r="R12" s="26" t="str">
        <x:v>Backend builder/contract may exist, but no canonical Flutter Experience slice or detailed spec.</x:v>
      </x:c>
    </x:row>
    <x:row r="13" ht="42" customHeight="1">
      <x:c r="A13" s="26" t="str">
        <x:v>CTH-05</x:v>
      </x:c>
      <x:c r="B13" s="26" t="str">
        <x:v>Sentiment calendar</x:v>
      </x:c>
      <x:c r="C13" s="26" t="str">
        <x:v>NO</x:v>
      </x:c>
      <x:c r="D13" s="26" t="str">
        <x:v>PARTIAL:1</x:v>
      </x:c>
      <x:c r="E13" s="26" t="n">
        <x:v>200</x:v>
      </x:c>
      <x:c r="F13" s="26" t="str">
        <x:v>true</x:v>
      </x:c>
      <x:c r="G13" s="26" t="str">
        <x:v>ABSENT</x:v>
      </x:c>
      <x:c r="H13" s="26" t="str">
        <x:v>能力说明 / 受控 Demo；不持有生产业务真相 [ABSENT]</x:v>
      </x:c>
      <x:c r="I13" s="26" t="str">
        <x:v>主要商业运营入口 [ABSENT]</x:v>
      </x:c>
      <x:c r="J13" s="26" t="str">
        <x:v>实时采集/深度分析/本地执行增强 [ABSENT]</x:v>
      </x:c>
      <x:c r="K13" s="26" t="str">
        <x:v>事件、结果、通知、审批 [ABSENT]</x:v>
      </x:c>
      <x:c r="L13" s="26" t="n">
        <x:v>10</x:v>
      </x:c>
      <x:c r="M13" s="26" t="str">
        <x:v>68–71</x:v>
      </x:c>
      <x:c r="N13" s="26" t="str">
        <x:v>SOL-057, LUNA-058, LUNA-059, LUNA-060</x:v>
      </x:c>
      <x:c r="O13" s="26" t="str">
        <x:v>Choose a day/range to inspect events and sources; switch to list view for precise keyboard access.</x:v>
      </x:c>
      <x:c r="P13" s="26" t="str">
        <x:v>Month heatmap beside date detail → week/day agenda with density marks and a slide-up evidence list.</x:v>
      </x:c>
      <x:c r="Q13" s="26" t="str">
        <x:v>—</x:v>
      </x:c>
      <x:c r="R13" s="26" t="str">
        <x:v>Backend builder/contract may exist, but no canonical Flutter Experience slice or detailed spec.</x:v>
      </x:c>
    </x:row>
    <x:row r="14" ht="42" customHeight="1">
      <x:c r="A14" s="26" t="str">
        <x:v>CTH-06</x:v>
      </x:c>
      <x:c r="B14" s="26" t="str">
        <x:v>Negative monitoring and feedback</x:v>
      </x:c>
      <x:c r="C14" s="26" t="str">
        <x:v>NO</x:v>
      </x:c>
      <x:c r="D14" s="26" t="str">
        <x:v>PARTIAL:1</x:v>
      </x:c>
      <x:c r="E14" s="26" t="n">
        <x:v>200</x:v>
      </x:c>
      <x:c r="F14" s="26" t="str">
        <x:v>true</x:v>
      </x:c>
      <x:c r="G14" s="26" t="str">
        <x:v>ABSENT</x:v>
      </x:c>
      <x:c r="H14" s="26" t="str">
        <x:v>能力说明 / 受控 Demo；不持有生产业务真相 [ABSENT]</x:v>
      </x:c>
      <x:c r="I14" s="26" t="str">
        <x:v>主要商业运营入口 [ABSENT]</x:v>
      </x:c>
      <x:c r="J14" s="26" t="str">
        <x:v>实时采集/深度分析/本地执行增强 [ABSENT]</x:v>
      </x:c>
      <x:c r="K14" s="26" t="str">
        <x:v>事件、结果、通知、审批 [ABSENT]</x:v>
      </x:c>
      <x:c r="L14" s="26" t="n">
        <x:v>10</x:v>
      </x:c>
      <x:c r="M14" s="26" t="str">
        <x:v>72–75</x:v>
      </x:c>
      <x:c r="N14" s="26" t="str">
        <x:v>SOL-061, LUNA-062, LUNA-063, LUNA-064</x:v>
      </x:c>
      <x:c r="O14" s="26" t="str">
        <x:v>Verify original Source, classify or link to a Case, and preserve the source wording and lineage.</x:v>
      </x:c>
      <x:c r="P14" s="26" t="str">
        <x:v>Dense triage table with source inspector → stacked review cards with filters and full-screen source reader.</x:v>
      </x:c>
      <x:c r="Q14" s="26" t="str">
        <x:v>—</x:v>
      </x:c>
      <x:c r="R14" s="26" t="str">
        <x:v>Backend builder/contract may exist, but no canonical Flutter Experience slice or detailed spec.</x:v>
      </x:c>
    </x:row>
    <x:row r="15" ht="42" customHeight="1">
      <x:c r="A15" s="26" t="str">
        <x:v>CTH-07</x:v>
      </x:c>
      <x:c r="B15" s="26" t="str">
        <x:v>Trend analysis</x:v>
      </x:c>
      <x:c r="C15" s="26" t="str">
        <x:v>NO</x:v>
      </x:c>
      <x:c r="D15" s="26" t="str">
        <x:v>PARTIAL:1</x:v>
      </x:c>
      <x:c r="E15" s="26" t="n">
        <x:v>200</x:v>
      </x:c>
      <x:c r="F15" s="26" t="str">
        <x:v>true</x:v>
      </x:c>
      <x:c r="G15" s="26" t="str">
        <x:v>ABSENT</x:v>
      </x:c>
      <x:c r="H15" s="26" t="str">
        <x:v>能力说明 / 受控 Demo；不持有生产业务真相 [ABSENT]</x:v>
      </x:c>
      <x:c r="I15" s="26" t="str">
        <x:v>主要商业运营入口 [ABSENT]</x:v>
      </x:c>
      <x:c r="J15" s="26" t="str">
        <x:v>实时采集/深度分析/本地执行增强 [ABSENT]</x:v>
      </x:c>
      <x:c r="K15" s="26" t="str">
        <x:v>事件、结果、通知、审批 [ABSENT]</x:v>
      </x:c>
      <x:c r="L15" s="26" t="n">
        <x:v>10</x:v>
      </x:c>
      <x:c r="M15" s="26" t="str">
        <x:v>76–79</x:v>
      </x:c>
      <x:c r="N15" s="26" t="str">
        <x:v>SOL-065, LUNA-066, LUNA-067, LUNA-068</x:v>
      </x:c>
      <x:c r="O15" s="26" t="str">
        <x:v>Add/remove a compatible metric or cohort and inspect the contribution/evidence behind a delta.</x:v>
      </x:c>
      <x:c r="P15" s="26" t="str">
        <x:v>Resizable synchronized charts and formula table → one primary chart, horizontal metric switcher and tappable delta explanation.</x:v>
      </x:c>
      <x:c r="Q15" s="26" t="str">
        <x:v>—</x:v>
      </x:c>
      <x:c r="R15" s="26" t="str">
        <x:v>Backend builder/contract may exist, but no canonical Flutter Experience slice or detailed spec.</x:v>
      </x:c>
    </x:row>
    <x:row r="16" ht="42" customHeight="1">
      <x:c r="A16" s="26" t="str">
        <x:v>CTH-08</x:v>
      </x:c>
      <x:c r="B16" s="26" t="str">
        <x:v>Case and knowledge library</x:v>
      </x:c>
      <x:c r="C16" s="26" t="str">
        <x:v>NO</x:v>
      </x:c>
      <x:c r="D16" s="26" t="str">
        <x:v>PARTIAL:1</x:v>
      </x:c>
      <x:c r="E16" s="26" t="n">
        <x:v>200</x:v>
      </x:c>
      <x:c r="F16" s="26" t="str">
        <x:v>true</x:v>
      </x:c>
      <x:c r="G16" s="26" t="str">
        <x:v>ABSENT</x:v>
      </x:c>
      <x:c r="H16" s="26" t="str">
        <x:v>能力说明 / 受控 Demo；不持有生产业务真相 [ABSENT]</x:v>
      </x:c>
      <x:c r="I16" s="26" t="str">
        <x:v>主要商业运营入口 [ABSENT]</x:v>
      </x:c>
      <x:c r="J16" s="26" t="str">
        <x:v>实时采集/深度分析/本地执行增强 [ABSENT]</x:v>
      </x:c>
      <x:c r="K16" s="26" t="str">
        <x:v>事件、结果、通知、审批 [ABSENT]</x:v>
      </x:c>
      <x:c r="L16" s="26" t="n">
        <x:v>11</x:v>
      </x:c>
      <x:c r="M16" s="26" t="str">
        <x:v>80–83</x:v>
      </x:c>
      <x:c r="N16" s="26" t="str">
        <x:v>SOL-069, LUNA-070, LUNA-071, LUNA-072</x:v>
      </x:c>
      <x:c r="O16" s="26" t="str">
        <x:v>Move a case through an authorized state transition; promote a reviewed conclusion to knowledge without overwriting facts.</x:v>
      </x:c>
      <x:c r="P16" s="26" t="str">
        <x:v>Board/list toggle with case timeline inspector → prioritized case inbox and step-by-step timeline.</x:v>
      </x:c>
      <x:c r="Q16" s="26" t="str">
        <x:v>—</x:v>
      </x:c>
      <x:c r="R16" s="26" t="str">
        <x:v>Backend builder/contract may exist, but no canonical Flutter Experience slice or detailed spec.</x:v>
      </x:c>
    </x:row>
    <x:row r="17" ht="42" customHeight="1">
      <x:c r="A17" s="26" t="str">
        <x:v>CTH-09</x:v>
      </x:c>
      <x:c r="B17" s="26" t="str">
        <x:v>Risk and decision board</x:v>
      </x:c>
      <x:c r="C17" s="26" t="str">
        <x:v>NO</x:v>
      </x:c>
      <x:c r="D17" s="26" t="str">
        <x:v>ABSENT:1; PARTIAL:1</x:v>
      </x:c>
      <x:c r="E17" s="26" t="n">
        <x:v>200</x:v>
      </x:c>
      <x:c r="F17" s="26" t="str">
        <x:v>true</x:v>
      </x:c>
      <x:c r="G17" s="26" t="str">
        <x:v>ABSENT</x:v>
      </x:c>
      <x:c r="H17" s="26" t="str">
        <x:v>能力说明 / 受控 Demo；不持有生产业务真相 [ABSENT]</x:v>
      </x:c>
      <x:c r="I17" s="26" t="str">
        <x:v>主要商业运营入口 [ABSENT]</x:v>
      </x:c>
      <x:c r="J17" s="26" t="str">
        <x:v>实时采集/深度分析/本地执行增强 [ABSENT]</x:v>
      </x:c>
      <x:c r="K17" s="26" t="str">
        <x:v>事件、结果、通知、审批 [ABSENT]</x:v>
      </x:c>
      <x:c r="L17" s="26" t="n">
        <x:v>11</x:v>
      </x:c>
      <x:c r="M17" s="26" t="str">
        <x:v>84–87</x:v>
      </x:c>
      <x:c r="N17" s="26" t="str">
        <x:v>SOL-073, LUNA-074, LUNA-075, LUNA-076</x:v>
      </x:c>
      <x:c r="O17" s="26" t="str">
        <x:v>Inspect basis, assign/record a decision, request approval and confirm the resulting action.</x:v>
      </x:c>
      <x:c r="P17" s="26" t="str">
        <x:v>Risk matrix plus decision ledger → ranked risk feed with focused decision detail and explicit confirmation.</x:v>
      </x:c>
      <x:c r="Q17" s="26" t="str">
        <x:v>—</x:v>
      </x:c>
      <x:c r="R17" s="26" t="str">
        <x:v>Backend builder/contract may exist, but no canonical Flutter Experience slice or detailed spec.</x:v>
      </x:c>
    </x:row>
    <x:row r="18" ht="42" customHeight="1">
      <x:c r="A18" s="26" t="str">
        <x:v>CTH-10</x:v>
      </x:c>
      <x:c r="B18" s="26" t="str">
        <x:v>Reports and weekly brief</x:v>
      </x:c>
      <x:c r="C18" s="26" t="str">
        <x:v>NO</x:v>
      </x:c>
      <x:c r="D18" s="26" t="str">
        <x:v>EXISTS_BUT_UNSCOPED:1</x:v>
      </x:c>
      <x:c r="E18" s="26" t="n">
        <x:v>200</x:v>
      </x:c>
      <x:c r="F18" s="26" t="str">
        <x:v>true</x:v>
      </x:c>
      <x:c r="G18" s="26" t="str">
        <x:v>ABSENT</x:v>
      </x:c>
      <x:c r="H18" s="26" t="str">
        <x:v>能力说明 / 受控 Demo；不持有生产业务真相 [ABSENT]</x:v>
      </x:c>
      <x:c r="I18" s="26" t="str">
        <x:v>主要商业运营入口 [ABSENT]</x:v>
      </x:c>
      <x:c r="J18" s="26" t="str">
        <x:v>实时采集/深度分析/本地执行增强 [ABSENT]</x:v>
      </x:c>
      <x:c r="K18" s="26" t="str">
        <x:v>事件、结果、通知、审批 [ABSENT]</x:v>
      </x:c>
      <x:c r="L18" s="26" t="n">
        <x:v>11</x:v>
      </x:c>
      <x:c r="M18" s="26" t="str">
        <x:v>88–91</x:v>
      </x:c>
      <x:c r="N18" s="26" t="str">
        <x:v>SOL-077, LUNA-078, LUNA-079, LUNA-080</x:v>
      </x:c>
      <x:c r="O18" s="26" t="str">
        <x:v>Select a period and verified blocks, inspect source list, preview and export with a recorded definition/window.</x:v>
      </x:c>
      <x:c r="P18" s="26" t="str">
        <x:v>Outline + live page preview + evidence rail → report sections list, one-page preview and share/export sheet.</x:v>
      </x:c>
      <x:c r="Q18" s="26" t="str">
        <x:v>—</x:v>
      </x:c>
      <x:c r="R18" s="26" t="str">
        <x:v>Backend builder/contract may exist, but no canonical Flutter Experience slice or detailed spec.</x:v>
      </x:c>
    </x:row>
    <x:row r="19" ht="42" customHeight="1">
      <x:c r="A19" s="26" t="str">
        <x:v>BMP-01</x:v>
      </x:c>
      <x:c r="B19" s="26" t="str">
        <x:v>Brand and market overview</x:v>
      </x:c>
      <x:c r="C19" s="26" t="str">
        <x:v>YES</x:v>
      </x:c>
      <x:c r="D19" s="26" t="str">
        <x:v>PARTIAL:1</x:v>
      </x:c>
      <x:c r="E19" s="26" t="n">
        <x:v>200</x:v>
      </x:c>
      <x:c r="F19" s="26" t="str">
        <x:v>true</x:v>
      </x:c>
      <x:c r="G19" s="26" t="str">
        <x:v>PARTIAL</x:v>
      </x:c>
      <x:c r="H19" s="26" t="str">
        <x:v>能力说明 / 受控 Demo；不持有生产业务真相 [ABSENT]</x:v>
      </x:c>
      <x:c r="I19" s="26" t="str">
        <x:v>主要品牌市场入口 [ABSENT]</x:v>
      </x:c>
      <x:c r="J19" s="26" t="str">
        <x:v>创作、文件、长任务、Local AI 增强 [PARTIAL]</x:v>
      </x:c>
      <x:c r="K19" s="26" t="str">
        <x:v>结果、报告、通知、审批 [PARTIAL]</x:v>
      </x:c>
      <x:c r="L19" s="26" t="n">
        <x:v>9</x:v>
      </x:c>
      <x:c r="M19" s="26" t="str">
        <x:v>92–95</x:v>
      </x:c>
      <x:c r="N19" s="26" t="str">
        <x:v>SOL-081, LUNA-082, LUNA-083, LUNA-084</x:v>
      </x:c>
      <x:c r="O19" s="26" t="str">
        <x:v>Focus a brand, inspect a relationship's evidence and jump into its market, propagation or campaign path.</x:v>
      </x:c>
      <x:c r="P19" s="26" t="str">
        <x:v>Rich network canvas with linked channel and KPI strips → brand pulse summary with navigable relationship carousel and source trace.</x:v>
      </x:c>
      <x:c r="Q19" s="26" t="str">
        <x:v>app/lib/features/bmp01/bmp01_screen.dart</x:v>
      </x:c>
      <x:c r="R19" s="26" t="str">
        <x:v>Implemented Flutter slice, but full action/runtime/device acceptance remains open.</x:v>
      </x:c>
    </x:row>
    <x:row r="20" ht="42" customHeight="1">
      <x:c r="A20" s="26" t="str">
        <x:v>BMP-02</x:v>
      </x:c>
      <x:c r="B20" s="26" t="str">
        <x:v>Brand portfolio and competitors</x:v>
      </x:c>
      <x:c r="C20" s="26" t="str">
        <x:v>NO</x:v>
      </x:c>
      <x:c r="D20" s="26" t="str">
        <x:v>PARTIAL:1</x:v>
      </x:c>
      <x:c r="E20" s="26" t="n">
        <x:v>200</x:v>
      </x:c>
      <x:c r="F20" s="26" t="str">
        <x:v>true</x:v>
      </x:c>
      <x:c r="G20" s="26" t="str">
        <x:v>ABSENT</x:v>
      </x:c>
      <x:c r="H20" s="26" t="str">
        <x:v>能力说明 / 受控 Demo；不持有生产业务真相 [ABSENT]</x:v>
      </x:c>
      <x:c r="I20" s="26" t="str">
        <x:v>主要品牌市场入口 [ABSENT]</x:v>
      </x:c>
      <x:c r="J20" s="26" t="str">
        <x:v>创作、文件、长任务、Local AI 增强 [ABSENT]</x:v>
      </x:c>
      <x:c r="K20" s="26" t="str">
        <x:v>结果、报告、通知、审批 [ABSENT]</x:v>
      </x:c>
      <x:c r="L20" s="26" t="n">
        <x:v>12</x:v>
      </x:c>
      <x:c r="M20" s="26" t="str">
        <x:v>96–99</x:v>
      </x:c>
      <x:c r="N20" s="26" t="str">
        <x:v>SOL-085, LUNA-086, LUNA-087, LUNA-088</x:v>
      </x:c>
      <x:c r="O20" s="26" t="str">
        <x:v>Compare or focus one brand; context switch is explicit and retains the previous focus for Return.</x:v>
      </x:c>
      <x:c r="P20" s="26" t="str">
        <x:v>Multi-brand canvas and comparison columns → searchable portfolio list with focused brand profile and competitor chips.</x:v>
      </x:c>
      <x:c r="Q20" s="26" t="str">
        <x:v>—</x:v>
      </x:c>
      <x:c r="R20" s="26" t="str">
        <x:v>Backend builder/contract may exist, but no canonical Flutter Experience slice or detailed spec.</x:v>
      </x:c>
    </x:row>
    <x:row r="21" ht="42" customHeight="1">
      <x:c r="A21" s="26" t="str">
        <x:v>BMP-03</x:v>
      </x:c>
      <x:c r="B21" s="26" t="str">
        <x:v>Market intelligence</x:v>
      </x:c>
      <x:c r="C21" s="26" t="str">
        <x:v>NO</x:v>
      </x:c>
      <x:c r="D21" s="26" t="str">
        <x:v>EXISTS_BUT_UNSCOPED:1</x:v>
      </x:c>
      <x:c r="E21" s="26" t="n">
        <x:v>200</x:v>
      </x:c>
      <x:c r="F21" s="26" t="str">
        <x:v>true</x:v>
      </x:c>
      <x:c r="G21" s="26" t="str">
        <x:v>ABSENT</x:v>
      </x:c>
      <x:c r="H21" s="26" t="str">
        <x:v>能力说明 / 受控 Demo；不持有生产业务真相 [ABSENT]</x:v>
      </x:c>
      <x:c r="I21" s="26" t="str">
        <x:v>主要品牌市场入口 [ABSENT]</x:v>
      </x:c>
      <x:c r="J21" s="26" t="str">
        <x:v>创作、文件、长任务、Local AI 增强 [ABSENT]</x:v>
      </x:c>
      <x:c r="K21" s="26" t="str">
        <x:v>结果、报告、通知、审批 [ABSENT]</x:v>
      </x:c>
      <x:c r="L21" s="26" t="n">
        <x:v>12</x:v>
      </x:c>
      <x:c r="M21" s="26" t="str">
        <x:v>100–103</x:v>
      </x:c>
      <x:c r="N21" s="26" t="str">
        <x:v>SOL-089, LUNA-090, LUNA-091, LUNA-092</x:v>
      </x:c>
      <x:c r="O21" s="26" t="str">
        <x:v>Filter a market/category window, inspect source provenance and mark a lead for review without calling it confirmed.</x:v>
      </x:c>
      <x:c r="P21" s="26" t="str">
        <x:v>Radar/landscape with evidence dossier → ranked opportunity feed and source-reader drill-in.</x:v>
      </x:c>
      <x:c r="Q21" s="26" t="str">
        <x:v>—</x:v>
      </x:c>
      <x:c r="R21" s="26" t="str">
        <x:v>Backend builder/contract may exist, but no canonical Flutter Experience slice or detailed spec.</x:v>
      </x:c>
    </x:row>
    <x:row r="22" ht="42" customHeight="1">
      <x:c r="A22" s="26" t="str">
        <x:v>BMP-04</x:v>
      </x:c>
      <x:c r="B22" s="26" t="str">
        <x:v>Media propagation analysis</x:v>
      </x:c>
      <x:c r="C22" s="26" t="str">
        <x:v>NO</x:v>
      </x:c>
      <x:c r="D22" s="26" t="str">
        <x:v>EXISTS_BUT_UNSCOPED:1</x:v>
      </x:c>
      <x:c r="E22" s="26" t="n">
        <x:v>200</x:v>
      </x:c>
      <x:c r="F22" s="26" t="str">
        <x:v>true</x:v>
      </x:c>
      <x:c r="G22" s="26" t="str">
        <x:v>ABSENT</x:v>
      </x:c>
      <x:c r="H22" s="26" t="str">
        <x:v>能力说明 / 受控 Demo；不持有生产业务真相 [ABSENT]</x:v>
      </x:c>
      <x:c r="I22" s="26" t="str">
        <x:v>主要品牌市场入口 [ABSENT]</x:v>
      </x:c>
      <x:c r="J22" s="26" t="str">
        <x:v>创作、文件、长任务、Local AI 增强 [ABSENT]</x:v>
      </x:c>
      <x:c r="K22" s="26" t="str">
        <x:v>结果、报告、通知、审批 [ABSENT]</x:v>
      </x:c>
      <x:c r="L22" s="26" t="n">
        <x:v>12</x:v>
      </x:c>
      <x:c r="M22" s="26" t="str">
        <x:v>104–107</x:v>
      </x:c>
      <x:c r="N22" s="26" t="str">
        <x:v>SOL-093, LUNA-094, LUNA-095, LUNA-096</x:v>
      </x:c>
      <x:c r="O22" s="26" t="str">
        <x:v>Trace a campaign/content item through the funnel and inspect each platform's source, metric definition and freshness.</x:v>
      </x:c>
      <x:c r="P22" s="26" t="str">
        <x:v>Flow visualization plus channel matrix → vertical funnel with channel selector and explicit metric/source details.</x:v>
      </x:c>
      <x:c r="Q22" s="26" t="str">
        <x:v>—</x:v>
      </x:c>
      <x:c r="R22" s="26" t="str">
        <x:v>Backend builder/contract may exist, but no canonical Flutter Experience slice or detailed spec.</x:v>
      </x:c>
    </x:row>
    <x:row r="23" ht="42" customHeight="1">
      <x:c r="A23" s="26" t="str">
        <x:v>BMP-05</x:v>
      </x:c>
      <x:c r="B23" s="26" t="str">
        <x:v>Creator ecosystem</x:v>
      </x:c>
      <x:c r="C23" s="26" t="str">
        <x:v>NO</x:v>
      </x:c>
      <x:c r="D23" s="26" t="str">
        <x:v>EXISTS_BUT_UNSCOPED:1</x:v>
      </x:c>
      <x:c r="E23" s="26" t="n">
        <x:v>200</x:v>
      </x:c>
      <x:c r="F23" s="26" t="str">
        <x:v>true</x:v>
      </x:c>
      <x:c r="G23" s="26" t="str">
        <x:v>ABSENT</x:v>
      </x:c>
      <x:c r="H23" s="26" t="str">
        <x:v>能力说明 / 受控 Demo；不持有生产业务真相 [ABSENT]</x:v>
      </x:c>
      <x:c r="I23" s="26" t="str">
        <x:v>主要品牌市场入口 [ABSENT]</x:v>
      </x:c>
      <x:c r="J23" s="26" t="str">
        <x:v>创作、文件、长任务、Local AI 增强 [ABSENT]</x:v>
      </x:c>
      <x:c r="K23" s="26" t="str">
        <x:v>结果、报告、通知、审批 [ABSENT]</x:v>
      </x:c>
      <x:c r="L23" s="26" t="n">
        <x:v>12</x:v>
      </x:c>
      <x:c r="M23" s="26" t="str">
        <x:v>108–111</x:v>
      </x:c>
      <x:c r="N23" s="26" t="str">
        <x:v>SOL-097, LUNA-098, LUNA-099, LUNA-100</x:v>
      </x:c>
      <x:c r="O23" s="26" t="str">
        <x:v>Open a creator dossier, compare verified contributions, note collaboration risk or attach to an authorized campaign.</x:v>
      </x:c>
      <x:c r="P23" s="26" t="str">
        <x:v>Graph plus sortable roster and dossier → creator cards with fit/risk summary and dossier detail.</x:v>
      </x:c>
      <x:c r="Q23" s="26" t="str">
        <x:v>—</x:v>
      </x:c>
      <x:c r="R23" s="26" t="str">
        <x:v>Backend builder/contract may exist, but no canonical Flutter Experience slice or detailed spec.</x:v>
      </x:c>
    </x:row>
    <x:row r="24" ht="42" customHeight="1">
      <x:c r="A24" s="26" t="str">
        <x:v>BMP-06</x:v>
      </x:c>
      <x:c r="B24" s="26" t="str">
        <x:v>Content center</x:v>
      </x:c>
      <x:c r="C24" s="26" t="str">
        <x:v>NO</x:v>
      </x:c>
      <x:c r="D24" s="26" t="str">
        <x:v>EXISTS_BUT_UNSCOPED:1</x:v>
      </x:c>
      <x:c r="E24" s="26" t="n">
        <x:v>200</x:v>
      </x:c>
      <x:c r="F24" s="26" t="str">
        <x:v>true</x:v>
      </x:c>
      <x:c r="G24" s="26" t="str">
        <x:v>ABSENT</x:v>
      </x:c>
      <x:c r="H24" s="26" t="str">
        <x:v>能力说明 / 受控 Demo；不持有生产业务真相 [ABSENT]</x:v>
      </x:c>
      <x:c r="I24" s="26" t="str">
        <x:v>主要品牌市场入口 [ABSENT]</x:v>
      </x:c>
      <x:c r="J24" s="26" t="str">
        <x:v>创作、文件、长任务、Local AI 增强 [ABSENT]</x:v>
      </x:c>
      <x:c r="K24" s="26" t="str">
        <x:v>结果、报告、通知、审批 [ABSENT]</x:v>
      </x:c>
      <x:c r="L24" s="26" t="n">
        <x:v>13</x:v>
      </x:c>
      <x:c r="M24" s="26" t="str">
        <x:v>112–115</x:v>
      </x:c>
      <x:c r="N24" s="26" t="str">
        <x:v>SOL-101, LUNA-102, LUNA-103, LUNA-104</x:v>
      </x:c>
      <x:c r="O24" s="26" t="str">
        <x:v>Upload/version content, review lineage and approval, then request an authorized publish handoff.</x:v>
      </x:c>
      <x:c r="P24" s="26" t="str">
        <x:v>Swimlane board with asset preview inspector → production queue with version stack and bottom approval actions.</x:v>
      </x:c>
      <x:c r="Q24" s="26" t="str">
        <x:v>—</x:v>
      </x:c>
      <x:c r="R24" s="26" t="str">
        <x:v>Backend builder/contract may exist, but no canonical Flutter Experience slice or detailed spec.</x:v>
      </x:c>
    </x:row>
    <x:row r="25" ht="42" customHeight="1">
      <x:c r="A25" s="26" t="str">
        <x:v>BMP-07</x:v>
      </x:c>
      <x:c r="B25" s="26" t="str">
        <x:v>Campaign workspace</x:v>
      </x:c>
      <x:c r="C25" s="26" t="str">
        <x:v>NO</x:v>
      </x:c>
      <x:c r="D25" s="26" t="str">
        <x:v>PARTIAL:1</x:v>
      </x:c>
      <x:c r="E25" s="26" t="n">
        <x:v>200</x:v>
      </x:c>
      <x:c r="F25" s="26" t="str">
        <x:v>true</x:v>
      </x:c>
      <x:c r="G25" s="26" t="str">
        <x:v>ABSENT</x:v>
      </x:c>
      <x:c r="H25" s="26" t="str">
        <x:v>能力说明 / 受控 Demo；不持有生产业务真相 [ABSENT]</x:v>
      </x:c>
      <x:c r="I25" s="26" t="str">
        <x:v>主要品牌市场入口 [ABSENT]</x:v>
      </x:c>
      <x:c r="J25" s="26" t="str">
        <x:v>创作、文件、长任务、Local AI 增强 [ABSENT]</x:v>
      </x:c>
      <x:c r="K25" s="26" t="str">
        <x:v>结果、报告、通知、审批 [ABSENT]</x:v>
      </x:c>
      <x:c r="L25" s="26" t="n">
        <x:v>13</x:v>
      </x:c>
      <x:c r="M25" s="26" t="str">
        <x:v>116–119</x:v>
      </x:c>
      <x:c r="N25" s="26" t="str">
        <x:v>SOL-105, LUNA-106, LUNA-107, LUNA-108</x:v>
      </x:c>
      <x:c r="O25" s="26" t="str">
        <x:v>Build or revise a plan, assign owners/dates, request approval, record delivery and evaluate against its baseline.</x:v>
      </x:c>
      <x:c r="P25" s="26" t="str">
        <x:v>Timeline and channel allocation side-by-side → guided milestone sequence with compact objective and status header.</x:v>
      </x:c>
      <x:c r="Q25" s="26" t="str">
        <x:v>—</x:v>
      </x:c>
      <x:c r="R25" s="26" t="str">
        <x:v>Backend builder/contract may exist, but no canonical Flutter Experience slice or detailed spec.</x:v>
      </x:c>
    </x:row>
    <x:row r="26" ht="42" customHeight="1">
      <x:c r="A26" s="26" t="str">
        <x:v>BMP-08</x:v>
      </x:c>
      <x:c r="B26" s="26" t="str">
        <x:v>Podcast studio</x:v>
      </x:c>
      <x:c r="C26" s="26" t="str">
        <x:v>NO</x:v>
      </x:c>
      <x:c r="D26" s="26" t="str">
        <x:v>EXISTS_BUT_UNSCOPED:1</x:v>
      </x:c>
      <x:c r="E26" s="26" t="n">
        <x:v>200</x:v>
      </x:c>
      <x:c r="F26" s="26" t="str">
        <x:v>true</x:v>
      </x:c>
      <x:c r="G26" s="26" t="str">
        <x:v>ABSENT</x:v>
      </x:c>
      <x:c r="H26" s="26" t="str">
        <x:v>能力说明 / 受控 Demo；不持有生产业务真相 [ABSENT]</x:v>
      </x:c>
      <x:c r="I26" s="26" t="str">
        <x:v>主要品牌市场入口 [ABSENT]</x:v>
      </x:c>
      <x:c r="J26" s="26" t="str">
        <x:v>创作、文件、长任务、Local AI 增强 [ABSENT]</x:v>
      </x:c>
      <x:c r="K26" s="26" t="str">
        <x:v>结果、报告、通知、审批 [ABSENT]</x:v>
      </x:c>
      <x:c r="L26" s="26" t="n">
        <x:v>13</x:v>
      </x:c>
      <x:c r="M26" s="26" t="str">
        <x:v>120–123</x:v>
      </x:c>
      <x:c r="N26" s="26" t="str">
        <x:v>SOL-109, LUNA-110, LUNA-111, LUNA-112</x:v>
      </x:c>
      <x:c r="O26" s="26" t="str">
        <x:v>Draft from an approved brief/evidence set, edit transcript against audio, review source claims and export a versioned cut.</x:v>
      </x:c>
      <x:c r="P26" s="26" t="str">
        <x:v>Large waveform + script/source side panel → transcript-first editor with scrub controls and a source drawer.</x:v>
      </x:c>
      <x:c r="Q26" s="26" t="str">
        <x:v>—</x:v>
      </x:c>
      <x:c r="R26" s="26" t="str">
        <x:v>Backend builder/contract may exist, but no canonical Flutter Experience slice or detailed spec.</x:v>
      </x:c>
    </x:row>
    <x:row r="27" ht="42" customHeight="1">
      <x:c r="A27" s="26" t="str">
        <x:v>BMP-09</x:v>
      </x:c>
      <x:c r="B27" s="26" t="str">
        <x:v>Brand evaluation</x:v>
      </x:c>
      <x:c r="C27" s="26" t="str">
        <x:v>NO</x:v>
      </x:c>
      <x:c r="D27" s="26" t="str">
        <x:v>EXISTS_BUT_UNSCOPED:1</x:v>
      </x:c>
      <x:c r="E27" s="26" t="n">
        <x:v>200</x:v>
      </x:c>
      <x:c r="F27" s="26" t="str">
        <x:v>true</x:v>
      </x:c>
      <x:c r="G27" s="26" t="str">
        <x:v>ABSENT</x:v>
      </x:c>
      <x:c r="H27" s="26" t="str">
        <x:v>能力说明 / 受控 Demo；不持有生产业务真相 [ABSENT]</x:v>
      </x:c>
      <x:c r="I27" s="26" t="str">
        <x:v>主要品牌市场入口 [ABSENT]</x:v>
      </x:c>
      <x:c r="J27" s="26" t="str">
        <x:v>创作、文件、长任务、Local AI 增强 [ABSENT]</x:v>
      </x:c>
      <x:c r="K27" s="26" t="str">
        <x:v>结果、报告、通知、审批 [ABSENT]</x:v>
      </x:c>
      <x:c r="L27" s="26" t="n">
        <x:v>13</x:v>
      </x:c>
      <x:c r="M27" s="26" t="str">
        <x:v>124–127</x:v>
      </x:c>
      <x:c r="N27" s="26" t="str">
        <x:v>SOL-113, LUNA-114, LUNA-115, LUNA-116</x:v>
      </x:c>
      <x:c r="O27" s="26" t="str">
        <x:v>Select a brand/period, inspect a dimension's definition and evidence, then compare only aligned baselines.</x:v>
      </x:c>
      <x:c r="P27" s="26" t="str">
        <x:v>Score matrix with dimension trend small multiples → prioritized dimension list and one selected evidence-backed trend.</x:v>
      </x:c>
      <x:c r="Q27" s="26" t="str">
        <x:v>—</x:v>
      </x:c>
      <x:c r="R27" s="26" t="str">
        <x:v>Backend builder/contract may exist, but no canonical Flutter Experience slice or detailed spec.</x:v>
      </x:c>
    </x:row>
    <x:row r="28" ht="42" customHeight="1">
      <x:c r="A28" s="26" t="str">
        <x:v>BMP-10</x:v>
      </x:c>
      <x:c r="B28" s="26" t="str">
        <x:v>Brand risk and events</x:v>
      </x:c>
      <x:c r="C28" s="26" t="str">
        <x:v>NO</x:v>
      </x:c>
      <x:c r="D28" s="26" t="str">
        <x:v>EXISTS_BUT_UNSCOPED:1</x:v>
      </x:c>
      <x:c r="E28" s="26" t="n">
        <x:v>200</x:v>
      </x:c>
      <x:c r="F28" s="26" t="str">
        <x:v>true</x:v>
      </x:c>
      <x:c r="G28" s="26" t="str">
        <x:v>ABSENT</x:v>
      </x:c>
      <x:c r="H28" s="26" t="str">
        <x:v>能力说明 / 受控 Demo；不持有生产业务真相 [ABSENT]</x:v>
      </x:c>
      <x:c r="I28" s="26" t="str">
        <x:v>主要品牌市场入口 [ABSENT]</x:v>
      </x:c>
      <x:c r="J28" s="26" t="str">
        <x:v>创作、文件、长任务、Local AI 增强 [ABSENT]</x:v>
      </x:c>
      <x:c r="K28" s="26" t="str">
        <x:v>结果、报告、通知、审批 [ABSENT]</x:v>
      </x:c>
      <x:c r="L28" s="26" t="n">
        <x:v>13</x:v>
      </x:c>
      <x:c r="M28" s="26" t="str">
        <x:v>128–131</x:v>
      </x:c>
      <x:c r="N28" s="26" t="str">
        <x:v>SOL-117, LUNA-118, LUNA-119, LUNA-120</x:v>
      </x:c>
      <x:c r="O28" s="26" t="str">
        <x:v>Triage an incident, assign a response, record approval/effect and revisit verified impact.</x:v>
      </x:c>
      <x:c r="P28" s="26" t="str">
        <x:v>Incident map plus response timeline → urgent queue with a focused incident detail and action ladder.</x:v>
      </x:c>
      <x:c r="Q28" s="26" t="str">
        <x:v>—</x:v>
      </x:c>
      <x:c r="R28" s="26" t="str">
        <x:v>Backend builder/contract may exist, but no canonical Flutter Experience slice or detailed spec.</x:v>
      </x:c>
    </x:row>
    <x:row r="29" ht="42" customHeight="1">
      <x:c r="A29" s="26" t="str">
        <x:v>BMP-11</x:v>
      </x:c>
      <x:c r="B29" s="26" t="str">
        <x:v>Benchmark and competitor analysis</x:v>
      </x:c>
      <x:c r="C29" s="26" t="str">
        <x:v>NO</x:v>
      </x:c>
      <x:c r="D29" s="26" t="str">
        <x:v>EXISTS_BUT_UNSCOPED:1</x:v>
      </x:c>
      <x:c r="E29" s="26" t="n">
        <x:v>200</x:v>
      </x:c>
      <x:c r="F29" s="26" t="str">
        <x:v>true</x:v>
      </x:c>
      <x:c r="G29" s="26" t="str">
        <x:v>ABSENT</x:v>
      </x:c>
      <x:c r="H29" s="26" t="str">
        <x:v>能力说明 / 受控 Demo；不持有生产业务真相 [ABSENT]</x:v>
      </x:c>
      <x:c r="I29" s="26" t="str">
        <x:v>主要品牌市场入口 [ABSENT]</x:v>
      </x:c>
      <x:c r="J29" s="26" t="str">
        <x:v>创作、文件、长任务、Local AI 增强 [ABSENT]</x:v>
      </x:c>
      <x:c r="K29" s="26" t="str">
        <x:v>结果、报告、通知、审批 [ABSENT]</x:v>
      </x:c>
      <x:c r="L29" s="26" t="n">
        <x:v>13</x:v>
      </x:c>
      <x:c r="M29" s="26" t="str">
        <x:v>132–135</x:v>
      </x:c>
      <x:c r="N29" s="26" t="str">
        <x:v>SOL-121, LUNA-122, LUNA-123, LUNA-124</x:v>
      </x:c>
      <x:c r="O29" s="26" t="str">
        <x:v>Select comparison set and time window, inspect normalization, identify a supported gap and export a traceable finding.</x:v>
      </x:c>
      <x:c r="P29" s="26" t="str">
        <x:v>Multi-column benchmark grid and small multiples → swipeable comparison cards with sticky metric definitions.</x:v>
      </x:c>
      <x:c r="Q29" s="26" t="str">
        <x:v>—</x:v>
      </x:c>
      <x:c r="R29" s="26" t="str">
        <x:v>Backend builder/contract may exist, but no canonical Flutter Experience slice or detailed spec.</x:v>
      </x:c>
    </x:row>
    <x:row r="30" ht="42" customHeight="1">
      <x:c r="A30" s="26" t="str">
        <x:v>AI-01</x:v>
      </x:c>
      <x:c r="B30" s="26" t="str">
        <x:v>AI intent entry</x:v>
      </x:c>
      <x:c r="C30" s="26" t="str">
        <x:v>YES</x:v>
      </x:c>
      <x:c r="D30" s="26" t="str">
        <x:v>PARTIAL:2</x:v>
      </x:c>
      <x:c r="E30" s="26" t="n">
        <x:v>200</x:v>
      </x:c>
      <x:c r="F30" s="26" t="str">
        <x:v>true</x:v>
      </x:c>
      <x:c r="G30" s="26" t="str">
        <x:v>PARTIAL</x:v>
      </x:c>
      <x:c r="H30" s="26" t="str">
        <x:v>能力说明 / 受控 Demo；不持有生产业务真相 [ABSENT]</x:v>
      </x:c>
      <x:c r="I30" s="26" t="str">
        <x:v>主要任务与结果入口 [ABSENT]</x:v>
      </x:c>
      <x:c r="J30" s="26" t="str">
        <x:v>本地 AI、长任务、文件/Browser 增强 [PARTIAL]</x:v>
      </x:c>
      <x:c r="K30" s="26" t="str">
        <x:v>结果、通知、审批、快速追问 [PARTIAL]</x:v>
      </x:c>
      <x:c r="L30" s="26" t="n">
        <x:v>9</x:v>
      </x:c>
      <x:c r="M30" s="26" t="str">
        <x:v>136–139</x:v>
      </x:c>
      <x:c r="N30" s="26" t="str">
        <x:v>SOL-125, LUNA-126, LUNA-127, LUNA-128</x:v>
      </x:c>
      <x:c r="O30" s="26" t="str">
        <x:v>State a task, confirm authorized context, inspect evidence/capability plan and start only when an executable route exists.</x:v>
      </x:c>
      <x:c r="P30" s="26" t="str">
        <x:v>Composer and evidence preview in parallel → single prompt field with context chip and expandable plan preview.</x:v>
      </x:c>
      <x:c r="Q30" s="26" t="str">
        <x:v>app/lib/features/ai01/ai01_screen.dart</x:v>
      </x:c>
      <x:c r="R30" s="26" t="str">
        <x:v>Implemented Flutter slice, but full action/runtime/device acceptance remains open.</x:v>
      </x:c>
    </x:row>
    <x:row r="31" ht="42" customHeight="1">
      <x:c r="A31" s="26" t="str">
        <x:v>AI-02</x:v>
      </x:c>
      <x:c r="B31" s="26" t="str">
        <x:v>Capability task workbench</x:v>
      </x:c>
      <x:c r="C31" s="26" t="str">
        <x:v>NO</x:v>
      </x:c>
      <x:c r="D31" s="26" t="str">
        <x:v>PARTIAL:1</x:v>
      </x:c>
      <x:c r="E31" s="26" t="n">
        <x:v>200</x:v>
      </x:c>
      <x:c r="F31" s="26" t="str">
        <x:v>true</x:v>
      </x:c>
      <x:c r="G31" s="26" t="str">
        <x:v>ABSENT</x:v>
      </x:c>
      <x:c r="H31" s="26" t="str">
        <x:v>能力说明 / 受控 Demo；不持有生产业务真相 [ABSENT]</x:v>
      </x:c>
      <x:c r="I31" s="26" t="str">
        <x:v>主要任务与结果入口 [ABSENT]</x:v>
      </x:c>
      <x:c r="J31" s="26" t="str">
        <x:v>本地 AI、长任务、文件/Browser 增强 [ABSENT]</x:v>
      </x:c>
      <x:c r="K31" s="26" t="str">
        <x:v>结果、通知、审批、快速追问 [ABSENT]</x:v>
      </x:c>
      <x:c r="L31" s="26" t="n">
        <x:v>14</x:v>
      </x:c>
      <x:c r="M31" s="26" t="str">
        <x:v>140–143</x:v>
      </x:c>
      <x:c r="N31" s="26" t="str">
        <x:v>SOL-129, LUNA-130, LUNA-131, LUNA-132</x:v>
      </x:c>
      <x:c r="O31" s="26" t="str">
        <x:v>Start, pause/cancel, retry a safe stage or review a gated action before it runs.</x:v>
      </x:c>
      <x:c r="P31" s="26" t="str">
        <x:v>Stage graph with artifact inspector → vertical progress path with persistent cancel and expandable evidence.</x:v>
      </x:c>
      <x:c r="Q31" s="26" t="str">
        <x:v>—</x:v>
      </x:c>
      <x:c r="R31" s="26" t="str">
        <x:v>Backend builder/contract may exist, but no canonical Flutter Experience slice or detailed spec.</x:v>
      </x:c>
    </x:row>
    <x:row r="32" ht="42" customHeight="1">
      <x:c r="A32" s="26" t="str">
        <x:v>AI-03</x:v>
      </x:c>
      <x:c r="B32" s="26" t="str">
        <x:v>Evidence-anchored analysis thread</x:v>
      </x:c>
      <x:c r="C32" s="26" t="str">
        <x:v>NO</x:v>
      </x:c>
      <x:c r="D32" s="26" t="str">
        <x:v>ABSENT:1; EXISTS_BUT_UNSCOPED:1</x:v>
      </x:c>
      <x:c r="E32" s="26" t="n">
        <x:v>200</x:v>
      </x:c>
      <x:c r="F32" s="26" t="str">
        <x:v>true</x:v>
      </x:c>
      <x:c r="G32" s="26" t="str">
        <x:v>ABSENT</x:v>
      </x:c>
      <x:c r="H32" s="26" t="str">
        <x:v>能力说明 / 受控 Demo；不持有生产业务真相 [ABSENT]</x:v>
      </x:c>
      <x:c r="I32" s="26" t="str">
        <x:v>主要任务与结果入口 [ABSENT]</x:v>
      </x:c>
      <x:c r="J32" s="26" t="str">
        <x:v>本地 AI、长任务、文件/Browser 增强 [ABSENT]</x:v>
      </x:c>
      <x:c r="K32" s="26" t="str">
        <x:v>结果、通知、审批、快速追问 [ABSENT]</x:v>
      </x:c>
      <x:c r="L32" s="26" t="n">
        <x:v>14</x:v>
      </x:c>
      <x:c r="M32" s="26" t="str">
        <x:v>144–147</x:v>
      </x:c>
      <x:c r="N32" s="26" t="str">
        <x:v>SOL-133, LUNA-134, LUNA-135, LUNA-136</x:v>
      </x:c>
      <x:c r="O32" s="26" t="str">
        <x:v>Open a cited source at the relevant passage, challenge/refine a claim or create an owned follow-up task.</x:v>
      </x:c>
      <x:c r="P32" s="26" t="str">
        <x:v>Thread plus source inspector → claim cards with inline citations and full-screen source return.</x:v>
      </x:c>
      <x:c r="Q32" s="26" t="str">
        <x:v>—</x:v>
      </x:c>
      <x:c r="R32" s="26" t="str">
        <x:v>Backend builder/contract may exist, but no canonical Flutter Experience slice or detailed spec.</x:v>
      </x:c>
    </x:row>
    <x:row r="33" ht="42" customHeight="1">
      <x:c r="A33" s="26" t="str">
        <x:v>AI-04</x:v>
      </x:c>
      <x:c r="B33" s="26" t="str">
        <x:v>Agent and skill catalog</x:v>
      </x:c>
      <x:c r="C33" s="26" t="str">
        <x:v>NO</x:v>
      </x:c>
      <x:c r="D33" s="26" t="str">
        <x:v>PARTIAL:1</x:v>
      </x:c>
      <x:c r="E33" s="26" t="n">
        <x:v>200</x:v>
      </x:c>
      <x:c r="F33" s="26" t="str">
        <x:v>true</x:v>
      </x:c>
      <x:c r="G33" s="26" t="str">
        <x:v>ABSENT</x:v>
      </x:c>
      <x:c r="H33" s="26" t="str">
        <x:v>能力说明 / 受控 Demo；不持有生产业务真相 [ABSENT]</x:v>
      </x:c>
      <x:c r="I33" s="26" t="str">
        <x:v>主要任务与结果入口 [ABSENT]</x:v>
      </x:c>
      <x:c r="J33" s="26" t="str">
        <x:v>本地 AI、长任务、文件/Browser 增强 [ABSENT]</x:v>
      </x:c>
      <x:c r="K33" s="26" t="str">
        <x:v>结果、通知、审批、快速追问 [ABSENT]</x:v>
      </x:c>
      <x:c r="L33" s="26" t="n">
        <x:v>14</x:v>
      </x:c>
      <x:c r="M33" s="26" t="str">
        <x:v>148–151</x:v>
      </x:c>
      <x:c r="N33" s="26" t="str">
        <x:v>SOL-137, LUNA-138, LUNA-139, LUNA-140</x:v>
      </x:c>
      <x:c r="O33" s="26" t="str">
        <x:v>Filter by task, inspect input/output and permission contract, then run a safe verified capability.</x:v>
      </x:c>
      <x:c r="P33" s="26" t="str">
        <x:v>Matrix/catalog with capability detail panel → searchable capability list and detail sheet.</x:v>
      </x:c>
      <x:c r="Q33" s="26" t="str">
        <x:v>—</x:v>
      </x:c>
      <x:c r="R33" s="26" t="str">
        <x:v>Backend builder/contract may exist, but no canonical Flutter Experience slice or detailed spec.</x:v>
      </x:c>
    </x:row>
    <x:row r="34" ht="42" customHeight="1">
      <x:c r="A34" s="26" t="str">
        <x:v>AI-05</x:v>
      </x:c>
      <x:c r="B34" s="26" t="str">
        <x:v>AI Gateway and providers</x:v>
      </x:c>
      <x:c r="C34" s="26" t="str">
        <x:v>NO</x:v>
      </x:c>
      <x:c r="D34" s="26" t="str">
        <x:v>PARTIAL:1</x:v>
      </x:c>
      <x:c r="E34" s="26" t="n">
        <x:v>200</x:v>
      </x:c>
      <x:c r="F34" s="26" t="str">
        <x:v>true</x:v>
      </x:c>
      <x:c r="G34" s="26" t="str">
        <x:v>ABSENT</x:v>
      </x:c>
      <x:c r="H34" s="26" t="str">
        <x:v>能力说明 / 受控 Demo；不持有生产业务真相 [ABSENT]</x:v>
      </x:c>
      <x:c r="I34" s="26" t="str">
        <x:v>主要任务与结果入口 [ABSENT]</x:v>
      </x:c>
      <x:c r="J34" s="26" t="str">
        <x:v>本地 AI、长任务、文件/Browser 增强 [ABSENT]</x:v>
      </x:c>
      <x:c r="K34" s="26" t="str">
        <x:v>结果、通知、审批、快速追问 [ABSENT]</x:v>
      </x:c>
      <x:c r="L34" s="26" t="n">
        <x:v>14</x:v>
      </x:c>
      <x:c r="M34" s="26" t="str">
        <x:v>152–155</x:v>
      </x:c>
      <x:c r="N34" s="26" t="str">
        <x:v>SOL-141, LUNA-142, LUNA-143, LUNA-144</x:v>
      </x:c>
      <x:c r="O34" s="26" t="str">
        <x:v>Inspect provider state or run a diagnostic; fallback must be observable and must not block core operations.</x:v>
      </x:c>
      <x:c r="P34" s="26" t="str">
        <x:v>Gateway flow map with health table → provider status list with explicit fallback/last-check details.</x:v>
      </x:c>
      <x:c r="Q34" s="26" t="str">
        <x:v>—</x:v>
      </x:c>
      <x:c r="R34" s="26" t="str">
        <x:v>Backend builder/contract may exist, but no canonical Flutter Experience slice or detailed spec.</x:v>
      </x:c>
    </x:row>
    <x:row r="35" ht="42" customHeight="1">
      <x:c r="A35" s="26" t="str">
        <x:v>SYS-01</x:v>
      </x:c>
      <x:c r="B35" s="26" t="str">
        <x:v>Runtime health</x:v>
      </x:c>
      <x:c r="C35" s="26" t="str">
        <x:v>YES</x:v>
      </x:c>
      <x:c r="D35" s="26" t="str">
        <x:v>PARTIAL:1</x:v>
      </x:c>
      <x:c r="E35" s="26" t="n">
        <x:v>200</x:v>
      </x:c>
      <x:c r="F35" s="26" t="str">
        <x:v>true</x:v>
      </x:c>
      <x:c r="G35" s="26" t="str">
        <x:v>PARTIAL</x:v>
      </x:c>
      <x:c r="H35" s="26" t="str">
        <x:v>能力说明 / 受控 Demo；不持有生产业务真相 [ABSENT]</x:v>
      </x:c>
      <x:c r="I35" s="26" t="str">
        <x:v>授权运营查看与轻量处置 [ABSENT]</x:v>
      </x:c>
      <x:c r="J35" s="26" t="str">
        <x:v>深度诊断、恢复与审计 [PARTIAL]</x:v>
      </x:c>
      <x:c r="K35" s="26" t="str">
        <x:v>告警、诊断摘要、审批 [PARTIAL]</x:v>
      </x:c>
      <x:c r="L35" s="26" t="n">
        <x:v>9</x:v>
      </x:c>
      <x:c r="M35" s="26" t="str">
        <x:v>156–159</x:v>
      </x:c>
      <x:c r="N35" s="26" t="str">
        <x:v>SOL-145, LUNA-146, LUNA-147, LUNA-148</x:v>
      </x:c>
      <x:c r="O35" s="26" t="str">
        <x:v>Open a failing dependency's diagnostic, inspect trace and invoke only an authorized recovery.</x:v>
      </x:c>
      <x:c r="P35" s="26" t="str">
        <x:v>Dependency map with health timeline → ordered dependency list and focused diagnostic view.</x:v>
      </x:c>
      <x:c r="Q35" s="26" t="str">
        <x:v>app/lib/features/system/sys01/sys01_screen.dart</x:v>
      </x:c>
      <x:c r="R35" s="26" t="str">
        <x:v>Implemented Flutter slice, but full action/runtime/device acceptance remains open.</x:v>
      </x:c>
    </x:row>
    <x:row r="36" ht="42" customHeight="1">
      <x:c r="A36" s="26" t="str">
        <x:v>SYS-02</x:v>
      </x:c>
      <x:c r="B36" s="26" t="str">
        <x:v>Collector status</x:v>
      </x:c>
      <x:c r="C36" s="26" t="str">
        <x:v>NO</x:v>
      </x:c>
      <x:c r="D36" s="26" t="str">
        <x:v>PARTIAL:1</x:v>
      </x:c>
      <x:c r="E36" s="26" t="n">
        <x:v>200</x:v>
      </x:c>
      <x:c r="F36" s="26" t="str">
        <x:v>true</x:v>
      </x:c>
      <x:c r="G36" s="26" t="str">
        <x:v>ABSENT</x:v>
      </x:c>
      <x:c r="H36" s="26" t="str">
        <x:v>能力说明 / 受控 Demo；不持有生产业务真相 [ABSENT]</x:v>
      </x:c>
      <x:c r="I36" s="26" t="str">
        <x:v>远程状态、授权发起、结果查看 [ABSENT]</x:v>
      </x:c>
      <x:c r="J36" s="26" t="str">
        <x:v>主要/独占本地 Collector、CDP、Cookie、文件能力 [ABSENT]</x:v>
      </x:c>
      <x:c r="K36" s="26" t="str">
        <x:v>状态、通知、审批 [ABSENT]</x:v>
      </x:c>
      <x:c r="L36" s="26" t="n">
        <x:v>14</x:v>
      </x:c>
      <x:c r="M36" s="26" t="str">
        <x:v>160–163</x:v>
      </x:c>
      <x:c r="N36" s="26" t="str">
        <x:v>SOL-149, LUNA-150, LUNA-151, LUNA-152</x:v>
      </x:c>
      <x:c r="O36" s="26" t="str">
        <x:v>Inspect a run, retry/stop when allowed, and trace a collected record to its destination state.</x:v>
      </x:c>
      <x:c r="P36" s="26" t="str">
        <x:v>Live operations table with per-platform drilldown → platform queue cards with persistent running/retry status.</x:v>
      </x:c>
      <x:c r="Q36" s="26" t="str">
        <x:v>—</x:v>
      </x:c>
      <x:c r="R36" s="26" t="str">
        <x:v>Backend builder/contract may exist, but no canonical Flutter Experience slice or detailed spec.</x:v>
      </x:c>
    </x:row>
    <x:row r="37" ht="42" customHeight="1">
      <x:c r="A37" s="26" t="str">
        <x:v>SYS-03</x:v>
      </x:c>
      <x:c r="B37" s="26" t="str">
        <x:v>Database and truth chain</x:v>
      </x:c>
      <x:c r="C37" s="26" t="str">
        <x:v>NO</x:v>
      </x:c>
      <x:c r="D37" s="26" t="str">
        <x:v>PARTIAL:1</x:v>
      </x:c>
      <x:c r="E37" s="26" t="n">
        <x:v>200</x:v>
      </x:c>
      <x:c r="F37" s="26" t="str">
        <x:v>true</x:v>
      </x:c>
      <x:c r="G37" s="26" t="str">
        <x:v>ABSENT</x:v>
      </x:c>
      <x:c r="H37" s="26" t="str">
        <x:v>能力说明 / 受控 Demo；不持有生产业务真相 [ABSENT]</x:v>
      </x:c>
      <x:c r="I37" s="26" t="str">
        <x:v>授权运营查看与轻量处置 [ABSENT]</x:v>
      </x:c>
      <x:c r="J37" s="26" t="str">
        <x:v>深度诊断、恢复与审计 [ABSENT]</x:v>
      </x:c>
      <x:c r="K37" s="26" t="str">
        <x:v>告警、诊断摘要、审批 [ABSENT]</x:v>
      </x:c>
      <x:c r="L37" s="26" t="n">
        <x:v>14</x:v>
      </x:c>
      <x:c r="M37" s="26" t="str">
        <x:v>164–167</x:v>
      </x:c>
      <x:c r="N37" s="26" t="str">
        <x:v>SOL-153, LUNA-154, LUNA-155, LUNA-156</x:v>
      </x:c>
      <x:c r="O37" s="26" t="str">
        <x:v>Inspect a table/chain validation and open exact integrity errors; recovery is a separately authorized path.</x:v>
      </x:c>
      <x:c r="P37" s="26" t="str">
        <x:v>Schema tree with chain timeline and diagnostics → chain stages with integrity summary and error detail.</x:v>
      </x:c>
      <x:c r="Q37" s="26" t="str">
        <x:v>—</x:v>
      </x:c>
      <x:c r="R37" s="26" t="str">
        <x:v>Backend builder/contract may exist, but no canonical Flutter Experience slice or detailed spec.</x:v>
      </x:c>
    </x:row>
    <x:row r="38" ht="42" customHeight="1">
      <x:c r="A38" s="26" t="str">
        <x:v>SYS-04</x:v>
      </x:c>
      <x:c r="B38" s="26" t="str">
        <x:v>Security and permission</x:v>
      </x:c>
      <x:c r="C38" s="26" t="str">
        <x:v>NO</x:v>
      </x:c>
      <x:c r="D38" s="26" t="str">
        <x:v>PARTIAL:1</x:v>
      </x:c>
      <x:c r="E38" s="26" t="n">
        <x:v>200</x:v>
      </x:c>
      <x:c r="F38" s="26" t="str">
        <x:v>true</x:v>
      </x:c>
      <x:c r="G38" s="26" t="str">
        <x:v>ABSENT</x:v>
      </x:c>
      <x:c r="H38" s="26" t="str">
        <x:v>能力说明 / 受控 Demo；不持有生产业务真相 [ABSENT]</x:v>
      </x:c>
      <x:c r="I38" s="26" t="str">
        <x:v>授权运营查看与轻量处置 [ABSENT]</x:v>
      </x:c>
      <x:c r="J38" s="26" t="str">
        <x:v>深度诊断、恢复与审计 [ABSENT]</x:v>
      </x:c>
      <x:c r="K38" s="26" t="str">
        <x:v>告警、诊断摘要、审批 [ABSENT]</x:v>
      </x:c>
      <x:c r="L38" s="26" t="n">
        <x:v>14</x:v>
      </x:c>
      <x:c r="M38" s="26" t="str">
        <x:v>168–171</x:v>
      </x:c>
      <x:c r="N38" s="26" t="str">
        <x:v>SOL-157, LUNA-158, LUNA-159, LUNA-160</x:v>
      </x:c>
      <x:c r="O38" s="26" t="str">
        <x:v>Simulate/read an access decision, inspect policy reason, or approve only through a real second-factor/approval contract.</x:v>
      </x:c>
      <x:c r="P38" s="26" t="str">
        <x:v>Matrix and audit ledger → searchable role/scope list with explicit decision detail.</x:v>
      </x:c>
      <x:c r="Q38" s="26" t="str">
        <x:v>—</x:v>
      </x:c>
      <x:c r="R38" s="26" t="str">
        <x:v>Backend builder/contract may exist, but no canonical Flutter Experience slice or detailed spec.</x:v>
      </x:c>
    </x:row>
    <x:row r="39" ht="42" customHeight="1">
      <x:c r="A39" s="26" t="str">
        <x:v>SYS-05</x:v>
      </x:c>
      <x:c r="B39" s="26" t="str">
        <x:v>Settings and appearance</x:v>
      </x:c>
      <x:c r="C39" s="26" t="str">
        <x:v>NO</x:v>
      </x:c>
      <x:c r="D39" s="26" t="str">
        <x:v>LOCAL_ONLY:1</x:v>
      </x:c>
      <x:c r="E39" s="26" t="n">
        <x:v>200</x:v>
      </x:c>
      <x:c r="F39" s="26" t="str">
        <x:v>true</x:v>
      </x:c>
      <x:c r="G39" s="26" t="str">
        <x:v>ABSENT</x:v>
      </x:c>
      <x:c r="H39" s="26" t="str">
        <x:v>能力说明 / 受控 Demo；不持有生产业务真相 [ABSENT]</x:v>
      </x:c>
      <x:c r="I39" s="26" t="str">
        <x:v>工作区偏好设置 [ABSENT]</x:v>
      </x:c>
      <x:c r="J39" s="26" t="str">
        <x:v>本地/企业设置增强 [ABSENT]</x:v>
      </x:c>
      <x:c r="K39" s="26" t="str">
        <x:v>个人偏好轻配置 [ABSENT]</x:v>
      </x:c>
      <x:c r="L39" s="26" t="n">
        <x:v>14</x:v>
      </x:c>
      <x:c r="M39" s="26" t="str">
        <x:v>172–175</x:v>
      </x:c>
      <x:c r="N39" s="26" t="str">
        <x:v>SOL-161, LUNA-162, LUNA-163, LUNA-164</x:v>
      </x:c>
      <x:c r="O39" s="26" t="str">
        <x:v>Change a local/account preference, preview, save and restore defaults; announce persisted scope.</x:v>
      </x:c>
      <x:c r="P39" s="26" t="str">
        <x:v>Side-by-side preference controls and live preview → grouped settings pages with immediate accessible preview.</x:v>
      </x:c>
      <x:c r="Q39" s="26" t="str">
        <x:v>—</x:v>
      </x:c>
      <x:c r="R39" s="26" t="str">
        <x:v>Backend builder/contract may exist, but no canonical Flutter Experience slice or detailed spec.</x:v>
      </x:c>
    </x:row>
    <x:row r="40" ht="42" customHeight="1">
      <x:c r="A40" s="26" t="str">
        <x:v>SYS-06</x:v>
      </x:c>
      <x:c r="B40" s="26" t="str">
        <x:v>Internal browser</x:v>
      </x:c>
      <x:c r="C40" s="26" t="str">
        <x:v>NO</x:v>
      </x:c>
      <x:c r="D40" s="26" t="str">
        <x:v>EXISTS_BUT_UNSCOPED:1</x:v>
      </x:c>
      <x:c r="E40" s="26" t="n">
        <x:v>200</x:v>
      </x:c>
      <x:c r="F40" s="26" t="str">
        <x:v>true</x:v>
      </x:c>
      <x:c r="G40" s="26" t="str">
        <x:v>ABSENT</x:v>
      </x:c>
      <x:c r="H40" s="26" t="str">
        <x:v>能力说明 / 受控 Demo；不持有生产业务真相 [ABSENT]</x:v>
      </x:c>
      <x:c r="I40" s="26" t="str">
        <x:v>远程状态、授权发起、结果查看 [ABSENT]</x:v>
      </x:c>
      <x:c r="J40" s="26" t="str">
        <x:v>主要/独占本地 Collector、CDP、Cookie、文件能力 [ABSENT]</x:v>
      </x:c>
      <x:c r="K40" s="26" t="str">
        <x:v>状态、通知、审批 [ABSENT]</x:v>
      </x:c>
      <x:c r="L40" s="26" t="n">
        <x:v>14</x:v>
      </x:c>
      <x:c r="M40" s="26" t="str">
        <x:v>176–179</x:v>
      </x:c>
      <x:c r="N40" s="26" t="str">
        <x:v>SOL-165, LUNA-166, LUNA-167, LUNA-168</x:v>
      </x:c>
      <x:c r="O40" s="26" t="str">
        <x:v>Navigate only within allowed capture rules, pin a snapshot as Evidence and inspect the audit result.</x:v>
      </x:c>
      <x:c r="P40" s="26" t="str">
        <x:v>Browser viewport plus evidence inspector → source capture full screen with a compact metadata/trace panel.</x:v>
      </x:c>
      <x:c r="Q40" s="26" t="str">
        <x:v>—</x:v>
      </x:c>
      <x:c r="R40" s="26" t="str">
        <x:v>Backend builder/contract may exist, but no canonical Flutter Experience slice or detailed spec.</x:v>
      </x:c>
    </x:row>
    <x:row r="41" ht="42" customHeight="1">
      <x:c r="A41" s="26" t="str">
        <x:v>SYS-07</x:v>
      </x:c>
      <x:c r="B41" s="26" t="str">
        <x:v>Evaluation and acceptance</x:v>
      </x:c>
      <x:c r="C41" s="26" t="str">
        <x:v>NO</x:v>
      </x:c>
      <x:c r="D41" s="26" t="str">
        <x:v>PARTIAL:1</x:v>
      </x:c>
      <x:c r="E41" s="26" t="n">
        <x:v>200</x:v>
      </x:c>
      <x:c r="F41" s="26" t="str">
        <x:v>true</x:v>
      </x:c>
      <x:c r="G41" s="26" t="str">
        <x:v>ABSENT</x:v>
      </x:c>
      <x:c r="H41" s="26" t="str">
        <x:v>能力说明 / 受控 Demo；不持有生产业务真相 [ABSENT]</x:v>
      </x:c>
      <x:c r="I41" s="26" t="str">
        <x:v>授权运营查看与轻量处置 [ABSENT]</x:v>
      </x:c>
      <x:c r="J41" s="26" t="str">
        <x:v>深度诊断、恢复与审计 [ABSENT]</x:v>
      </x:c>
      <x:c r="K41" s="26" t="str">
        <x:v>告警、诊断摘要、审批 [ABSENT]</x:v>
      </x:c>
      <x:c r="L41" s="26" t="n">
        <x:v>14</x:v>
      </x:c>
      <x:c r="M41" s="26" t="str">
        <x:v>180–183</x:v>
      </x:c>
      <x:c r="N41" s="26" t="str">
        <x:v>SOL-169, LUNA-170, LUNA-171, LUNA-172</x:v>
      </x:c>
      <x:c r="O41" s="26" t="str">
        <x:v>Open a gate's artifact, rerun a permitted check and inspect exact failing criterion.</x:v>
      </x:c>
      <x:c r="P41" s="26" t="str">
        <x:v>Gate matrix with evidence detail → sequential gate cards with current blocker and artifact links.</x:v>
      </x:c>
      <x:c r="Q41" s="26" t="str">
        <x:v>—</x:v>
      </x:c>
      <x:c r="R41" s="26" t="str">
        <x:v>Backend builder/contract may exist, but no canonical Flutter Experience slice or detailed spec.</x:v>
      </x:c>
    </x:row>
    <x:row r="42" ht="42" customHeight="1">
      <x:c r="A42" s="26" t="str">
        <x:v>SYS-08</x:v>
      </x:c>
      <x:c r="B42" s="26" t="str">
        <x:v>Observability and logs</x:v>
      </x:c>
      <x:c r="C42" s="26" t="str">
        <x:v>NO</x:v>
      </x:c>
      <x:c r="D42" s="26" t="str">
        <x:v>PARTIAL:1</x:v>
      </x:c>
      <x:c r="E42" s="26" t="n">
        <x:v>200</x:v>
      </x:c>
      <x:c r="F42" s="26" t="str">
        <x:v>true</x:v>
      </x:c>
      <x:c r="G42" s="26" t="str">
        <x:v>ABSENT</x:v>
      </x:c>
      <x:c r="H42" s="26" t="str">
        <x:v>能力说明 / 受控 Demo；不持有生产业务真相 [ABSENT]</x:v>
      </x:c>
      <x:c r="I42" s="26" t="str">
        <x:v>授权运营查看与轻量处置 [ABSENT]</x:v>
      </x:c>
      <x:c r="J42" s="26" t="str">
        <x:v>深度诊断、恢复与审计 [ABSENT]</x:v>
      </x:c>
      <x:c r="K42" s="26" t="str">
        <x:v>告警、诊断摘要、审批 [ABSENT]</x:v>
      </x:c>
      <x:c r="L42" s="26" t="n">
        <x:v>14</x:v>
      </x:c>
      <x:c r="M42" s="26" t="str">
        <x:v>184–187</x:v>
      </x:c>
      <x:c r="N42" s="26" t="str">
        <x:v>SOL-173, LUNA-174, LUNA-175, LUNA-176</x:v>
      </x:c>
      <x:c r="O42" s="26" t="str">
        <x:v>Filter by trace/time/component, inspect correlated logs and return to the originating runtime or task.</x:v>
      </x:c>
      <x:c r="P42" s="26" t="str">
        <x:v>Waterfall and query facets with detail pane → trace summary followed by scrollable spans and errors.</x:v>
      </x:c>
      <x:c r="Q42" s="26" t="str">
        <x:v>—</x:v>
      </x:c>
      <x:c r="R42" s="26" t="str">
        <x:v>Backend builder/contract may exist, but no canonical Flutter Experience slice or detailed spec.</x:v>
      </x:c>
    </x:row>
    <x:row r="43" ht="42" customHeight="1">
      <x:c r="A43" s="26" t="str">
        <x:v>SH-01</x:v>
      </x:c>
      <x:c r="B43" s="26" t="str">
        <x:v>Content creation studio</x:v>
      </x:c>
      <x:c r="C43" s="26" t="str">
        <x:v>YES</x:v>
      </x:c>
      <x:c r="D43" s="26" t="str">
        <x:v>ABSENT:3; PARTIAL:3</x:v>
      </x:c>
      <x:c r="E43" s="26" t="n">
        <x:v>200</x:v>
      </x:c>
      <x:c r="F43" s="26" t="str">
        <x:v>true</x:v>
      </x:c>
      <x:c r="G43" s="26" t="str">
        <x:v>PARTIAL</x:v>
      </x:c>
      <x:c r="H43" s="26" t="str">
        <x:v>能力说明 / 受控 Demo；不持有生产业务真相 [ABSENT]</x:v>
      </x:c>
      <x:c r="I43" s="26" t="str">
        <x:v>主要共享工作流入口 [ABSENT]</x:v>
      </x:c>
      <x:c r="J43" s="26" t="str">
        <x:v>文件、导出、长任务增强 [PARTIAL]</x:v>
      </x:c>
      <x:c r="K43" s="26" t="str">
        <x:v>阅读、通知、审批、轻操作 [PARTIAL]</x:v>
      </x:c>
      <x:c r="L43" s="26" t="n">
        <x:v>9</x:v>
      </x:c>
      <x:c r="M43" s="26" t="str">
        <x:v>188–191</x:v>
      </x:c>
      <x:c r="N43" s="26" t="str">
        <x:v>SOL-177, LUNA-178, LUNA-179, LUNA-180</x:v>
      </x:c>
      <x:c r="O43" s="26" t="str">
        <x:v>Create a draft from a real brief, cite evidence, review revisions and hand off for human approval.</x:v>
      </x:c>
      <x:c r="P43" s="26" t="str">
        <x:v>Three-zone canvas (sources/work/artifact) → focused editor with source drawer and version/action sheet.</x:v>
      </x:c>
      <x:c r="Q43" s="26" t="str">
        <x:v>app/lib/features/shared/sh01/sh01_screen.dart</x:v>
      </x:c>
      <x:c r="R43" s="26" t="str">
        <x:v>Implemented Flutter slice, but full action/runtime/device acceptance remains open.</x:v>
      </x:c>
    </x:row>
    <x:row r="44" ht="42" customHeight="1">
      <x:c r="A44" s="26" t="str">
        <x:v>SH-02</x:v>
      </x:c>
      <x:c r="B44" s="26" t="str">
        <x:v>Evidence library</x:v>
      </x:c>
      <x:c r="C44" s="26" t="str">
        <x:v>NO</x:v>
      </x:c>
      <x:c r="D44" s="26" t="str">
        <x:v>EXISTS_BUT_UNSCOPED:1</x:v>
      </x:c>
      <x:c r="E44" s="26" t="n">
        <x:v>200</x:v>
      </x:c>
      <x:c r="F44" s="26" t="str">
        <x:v>true</x:v>
      </x:c>
      <x:c r="G44" s="26" t="str">
        <x:v>ABSENT</x:v>
      </x:c>
      <x:c r="H44" s="26" t="str">
        <x:v>能力说明 / 受控 Demo；不持有生产业务真相 [ABSENT]</x:v>
      </x:c>
      <x:c r="I44" s="26" t="str">
        <x:v>主要共享工作流入口 [ABSENT]</x:v>
      </x:c>
      <x:c r="J44" s="26" t="str">
        <x:v>文件、导出、长任务增强 [ABSENT]</x:v>
      </x:c>
      <x:c r="K44" s="26" t="str">
        <x:v>阅读、通知、审批、轻操作 [ABSENT]</x:v>
      </x:c>
      <x:c r="L44" s="26" t="n">
        <x:v>14</x:v>
      </x:c>
      <x:c r="M44" s="26" t="str">
        <x:v>192–195</x:v>
      </x:c>
      <x:c r="N44" s="26" t="str">
        <x:v>SOL-181, LUNA-182, LUNA-183, LUNA-184</x:v>
      </x:c>
      <x:c r="O44" s="26" t="str">
        <x:v>Search/filter, compare source with extracted item, inspect freshness and open its owning CTH/BMP origin.</x:v>
      </x:c>
      <x:c r="P44" s="26" t="str">
        <x:v>Dense result list with provenance inspector → searchable evidence cards with full-screen source trace.</x:v>
      </x:c>
      <x:c r="Q44" s="26" t="str">
        <x:v>—</x:v>
      </x:c>
      <x:c r="R44" s="26" t="str">
        <x:v>Backend builder/contract may exist, but no canonical Flutter Experience slice or detailed spec.</x:v>
      </x:c>
    </x:row>
    <x:row r="45" ht="42" customHeight="1">
      <x:c r="A45" s="26" t="str">
        <x:v>SH-03</x:v>
      </x:c>
      <x:c r="B45" s="26" t="str">
        <x:v>Canonical data and metrics browser</x:v>
      </x:c>
      <x:c r="C45" s="26" t="str">
        <x:v>NO</x:v>
      </x:c>
      <x:c r="D45" s="26" t="str">
        <x:v>EXISTS_BUT_UNSCOPED:1</x:v>
      </x:c>
      <x:c r="E45" s="26" t="n">
        <x:v>200</x:v>
      </x:c>
      <x:c r="F45" s="26" t="str">
        <x:v>true</x:v>
      </x:c>
      <x:c r="G45" s="26" t="str">
        <x:v>ABSENT</x:v>
      </x:c>
      <x:c r="H45" s="26" t="str">
        <x:v>能力说明 / 受控 Demo；不持有生产业务真相 [ABSENT]</x:v>
      </x:c>
      <x:c r="I45" s="26" t="str">
        <x:v>主要共享工作流入口 [ABSENT]</x:v>
      </x:c>
      <x:c r="J45" s="26" t="str">
        <x:v>文件、导出、长任务增强 [ABSENT]</x:v>
      </x:c>
      <x:c r="K45" s="26" t="str">
        <x:v>阅读、通知、审批、轻操作 [ABSENT]</x:v>
      </x:c>
      <x:c r="L45" s="26" t="n">
        <x:v>14</x:v>
      </x:c>
      <x:c r="M45" s="26" t="str">
        <x:v>196–199</x:v>
      </x:c>
      <x:c r="N45" s="26" t="str">
        <x:v>SOL-185, LUNA-186, LUNA-187, LUNA-188</x:v>
      </x:c>
      <x:c r="O45" s="26" t="str">
        <x:v>Inspect a field or metric and traverse lineage; this is read-only exploration, not business fact editing.</x:v>
      </x:c>
      <x:c r="P45" s="26" t="str">
        <x:v>Navigable schema tree plus query/result panes → table/metric list with definition and lineage drilldown.</x:v>
      </x:c>
      <x:c r="Q45" s="26" t="str">
        <x:v>—</x:v>
      </x:c>
      <x:c r="R45" s="26" t="str">
        <x:v>Backend builder/contract may exist, but no canonical Flutter Experience slice or detailed spec.</x:v>
      </x:c>
    </x:row>
    <x:row r="46" ht="42" customHeight="1">
      <x:c r="A46" s="26" t="str">
        <x:v>SH-04</x:v>
      </x:c>
      <x:c r="B46" s="26" t="str">
        <x:v>Report export center</x:v>
      </x:c>
      <x:c r="C46" s="26" t="str">
        <x:v>NO</x:v>
      </x:c>
      <x:c r="D46" s="26" t="str">
        <x:v>PARTIAL:1</x:v>
      </x:c>
      <x:c r="E46" s="26" t="n">
        <x:v>200</x:v>
      </x:c>
      <x:c r="F46" s="26" t="str">
        <x:v>true</x:v>
      </x:c>
      <x:c r="G46" s="26" t="str">
        <x:v>ABSENT</x:v>
      </x:c>
      <x:c r="H46" s="26" t="str">
        <x:v>能力说明 / 受控 Demo；不持有生产业务真相 [ABSENT]</x:v>
      </x:c>
      <x:c r="I46" s="26" t="str">
        <x:v>主要共享工作流入口 [ABSENT]</x:v>
      </x:c>
      <x:c r="J46" s="26" t="str">
        <x:v>文件、导出、长任务增强 [ABSENT]</x:v>
      </x:c>
      <x:c r="K46" s="26" t="str">
        <x:v>阅读、通知、审批、轻操作 [ABSENT]</x:v>
      </x:c>
      <x:c r="L46" s="26" t="n">
        <x:v>14</x:v>
      </x:c>
      <x:c r="M46" s="26" t="str">
        <x:v>200–203</x:v>
      </x:c>
      <x:c r="N46" s="26" t="str">
        <x:v>SOL-189, LUNA-190, LUNA-191, LUNA-192</x:v>
      </x:c>
      <x:c r="O46" s="26" t="str">
        <x:v>Choose PDF/Excel/PPT only when supported, set scope, inspect preview, export and retrieve audited artifact.</x:v>
      </x:c>
      <x:c r="P46" s="26" t="str">
        <x:v>Export configuration and artifact preview split → guided export steps and a final downloadable artifact view.</x:v>
      </x:c>
      <x:c r="Q46" s="26" t="str">
        <x:v>—</x:v>
      </x:c>
      <x:c r="R46" s="26" t="str">
        <x:v>Backend builder/contract may exist, but no canonical Flutter Experience slice or detailed spec.</x:v>
      </x:c>
    </x:row>
    <x:row r="47" ht="42" customHeight="1">
      <x:c r="A47" s="26" t="str">
        <x:v>SH-05</x:v>
      </x:c>
      <x:c r="B47" s="26" t="str">
        <x:v>Learning and evaluation assets</x:v>
      </x:c>
      <x:c r="C47" s="26" t="str">
        <x:v>NO</x:v>
      </x:c>
      <x:c r="D47" s="26" t="str">
        <x:v>EXISTS_BUT_UNSCOPED:1</x:v>
      </x:c>
      <x:c r="E47" s="26" t="n">
        <x:v>200</x:v>
      </x:c>
      <x:c r="F47" s="26" t="str">
        <x:v>true</x:v>
      </x:c>
      <x:c r="G47" s="26" t="str">
        <x:v>ABSENT</x:v>
      </x:c>
      <x:c r="H47" s="26" t="str">
        <x:v>能力说明 / 受控 Demo；不持有生产业务真相 [ABSENT]</x:v>
      </x:c>
      <x:c r="I47" s="26" t="str">
        <x:v>主要共享工作流入口 [ABSENT]</x:v>
      </x:c>
      <x:c r="J47" s="26" t="str">
        <x:v>文件、导出、长任务增强 [ABSENT]</x:v>
      </x:c>
      <x:c r="K47" s="26" t="str">
        <x:v>阅读、通知、审批、轻操作 [ABSENT]</x:v>
      </x:c>
      <x:c r="L47" s="26" t="n">
        <x:v>14</x:v>
      </x:c>
      <x:c r="M47" s="26" t="str">
        <x:v>204–207</x:v>
      </x:c>
      <x:c r="N47" s="26" t="str">
        <x:v>SOL-193, LUNA-194, LUNA-195, LUNA-196</x:v>
      </x:c>
      <x:c r="O47" s="26" t="str">
        <x:v>Open a learning asset, inspect verification history, propose a revision or use it as a cited task input.</x:v>
      </x:c>
      <x:c r="P47" s="26" t="str">
        <x:v>Asset shelves with review timeline → filtered learning library and one-asset reading view.</x:v>
      </x:c>
      <x:c r="Q47" s="26" t="str">
        <x:v>—</x:v>
      </x:c>
      <x:c r="R47" s="26" t="str">
        <x:v>Backend builder/contract may exist, but no canonical Flutter Experience slice or detailed spec.</x:v>
      </x:c>
    </x:row>
    <x:row r="48" ht="42" customHeight="1">
      <x:c r="A48" s="26" t="str">
        <x:v>SH-06</x:v>
      </x:c>
      <x:c r="B48" s="26" t="str">
        <x:v>Notifications and tasks</x:v>
      </x:c>
      <x:c r="C48" s="26" t="str">
        <x:v>NO</x:v>
      </x:c>
      <x:c r="D48" s="26" t="str">
        <x:v>EXISTS_BUT_UNSCOPED:1</x:v>
      </x:c>
      <x:c r="E48" s="26" t="n">
        <x:v>200</x:v>
      </x:c>
      <x:c r="F48" s="26" t="str">
        <x:v>true</x:v>
      </x:c>
      <x:c r="G48" s="26" t="str">
        <x:v>ABSENT</x:v>
      </x:c>
      <x:c r="H48" s="26" t="str">
        <x:v>能力说明 / 受控 Demo；不持有生产业务真相 [ABSENT]</x:v>
      </x:c>
      <x:c r="I48" s="26" t="str">
        <x:v>主要共享工作流入口 [ABSENT]</x:v>
      </x:c>
      <x:c r="J48" s="26" t="str">
        <x:v>文件、导出、长任务增强 [ABSENT]</x:v>
      </x:c>
      <x:c r="K48" s="26" t="str">
        <x:v>阅读、通知、审批、轻操作 [ABSENT]</x:v>
      </x:c>
      <x:c r="L48" s="26" t="n">
        <x:v>14</x:v>
      </x:c>
      <x:c r="M48" s="26" t="str">
        <x:v>208–211</x:v>
      </x:c>
      <x:c r="N48" s="26" t="str">
        <x:v>SOL-197, LUNA-198, LUNA-199, LUNA-200</x:v>
      </x:c>
      <x:c r="O48" s="26" t="str">
        <x:v>Triage, assign/snooze/resolve only through authorized actions; every item returns to its originating task/evidence.</x:v>
      </x:c>
      <x:c r="P48" s="26" t="str">
        <x:v>Multi-lane inbox with detail inspector → prioritized queue and full-screen task action with clear origin/return.</x:v>
      </x:c>
      <x:c r="Q48" s="26" t="str">
        <x:v>—</x:v>
      </x:c>
      <x:c r="R48" s="26" t="str">
        <x:v>Backend builder/contract may exist, but no canonical Flutter Experience slice or detailed spec.</x:v>
      </x:c>
    </x:row>
  </x:sheetData>
  <x:mergeCells>
    <x:mergeCell ref="A1:R1"/>
    <x:mergeCell ref="A2:R2"/>
  </x:mergeCells>
  <x:conditionalFormatting sqref="C5:C48">
    <x:cfRule type="containsText" dxfId="5" priority="1" operator="containsText" text="NO"/>
  </x:conditionalFormatting>
  <x:conditionalFormatting sqref="G5:G48">
    <x:cfRule type="containsText" dxfId="6" priority="2" operator="containsText" text="ABSENT"/>
  </x:conditionalFormatting>
  <x:pageMargins left="0.7" right="0.7" top="0.75" bottom="0.75" header="0.3" footer="0.3"/>
  <x:tableParts count="1">
    <x:tablePart xmlns:r="http://schemas.openxmlformats.org/officeDocument/2006/relationships" r:id="Rf514ca494bc34426"/>
  </x:tableParts>
</x:worksheet>
</file>

<file path=xl/worksheets/sheet3.xml><?xml version="1.0" encoding="utf-8"?>
<x:worksheet xmlns:x="http://schemas.openxmlformats.org/spreadsheetml/2006/main">
  <x:sheetPr>
    <x:tabColor rgb="FF3EB7B1"/>
  </x:sheetPr>
  <x:sheetViews>
    <x:sheetView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30" hidden="0" customWidth="1"/>
    <x:col min="4" max="4" width="25" hidden="0" customWidth="1"/>
    <x:col min="5" max="5" width="42" hidden="0" customWidth="1"/>
    <x:col min="6" max="6" width="40" hidden="0" customWidth="1"/>
    <x:col min="7" max="7" width="25" hidden="0" customWidth="1"/>
    <x:col min="8" max="8" width="24" hidden="0" customWidth="1"/>
    <x:col min="9" max="9" width="24" hidden="0" customWidth="1"/>
    <x:col min="10" max="10" width="24" hidden="0" customWidth="1"/>
    <x:col min="11" max="11" width="28" hidden="0" customWidth="1"/>
    <x:col min="12" max="12" width="32" hidden="0" customWidth="1"/>
    <x:col min="13" max="13" width="20" hidden="0" customWidth="1"/>
    <x:col min="14" max="14" width="8" hidden="0" customWidth="1"/>
    <x:col min="15" max="15" width="42" hidden="0" customWidth="1"/>
  </x:cols>
  <x:sheetData>
    <x:row r="1" ht="34" customHeight="1">
      <x:c r="A1" s="3" t="str">
        <x:v>产品能力源码矩阵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7" t="str">
        <x:v>按实现、调用、数据、Permission、Evidence、测试、Runtime、兼容路径审计；不是文件名目录。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22" t="str">
        <x:v>ID</x:v>
      </x:c>
      <x:c r="B4" s="22" t="str">
        <x:v>领域</x:v>
      </x:c>
      <x:c r="C4" s="22" t="str">
        <x:v>能力</x:v>
      </x:c>
      <x:c r="D4" s="22" t="str">
        <x:v>Canonical Owner</x:v>
      </x:c>
      <x:c r="E4" s="22" t="str">
        <x:v>Current implementation</x:v>
      </x:c>
      <x:c r="F4" s="22" t="str">
        <x:v>Callers / Contract</x:v>
      </x:c>
      <x:c r="G4" s="22" t="str">
        <x:v>Database</x:v>
      </x:c>
      <x:c r="H4" s="22" t="str">
        <x:v>Permission</x:v>
      </x:c>
      <x:c r="I4" s="22" t="str">
        <x:v>Evidence</x:v>
      </x:c>
      <x:c r="J4" s="22" t="str">
        <x:v>Tests</x:v>
      </x:c>
      <x:c r="K4" s="22" t="str">
        <x:v>Runtime</x:v>
      </x:c>
      <x:c r="L4" s="22" t="str">
        <x:v>Duplicate / Compatibility</x:v>
      </x:c>
      <x:c r="M4" s="22" t="str">
        <x:v>Status</x:v>
      </x:c>
      <x:c r="N4" s="22" t="str">
        <x:v>Round</x:v>
      </x:c>
      <x:c r="O4" s="22" t="str">
        <x:v>Gap</x:v>
      </x:c>
    </x:row>
    <x:row r="5" ht="42" customHeight="1">
      <x:c r="A5" s="26" t="str">
        <x:v>CAP-001</x:v>
      </x:c>
      <x:c r="B5" s="26" t="str">
        <x:v>Governance</x:v>
      </x:c>
      <x:c r="C5" s="26" t="str">
        <x:v>One Product / Only-One owners</x:v>
      </x:c>
      <x:c r="D5" s="26" t="str">
        <x:v>Sol + canonical owner index</x:v>
      </x:c>
      <x:c r="E5" s="26" t="str">
        <x:v>Blocking validators and owner index</x:v>
      </x:c>
      <x:c r="F5" s="26" t="str">
        <x:v>AGENTS.md; verify_lumenis_single_product.py</x:v>
      </x:c>
      <x:c r="G5" s="26" t="str">
        <x:v>—</x:v>
      </x:c>
      <x:c r="H5" s="26" t="str">
        <x:v>Governance gate</x:v>
      </x:c>
      <x:c r="I5" s="26" t="str">
        <x:v>Validator evidence</x:v>
      </x:c>
      <x:c r="J5" s="26" t="str">
        <x:v>validators PASS</x:v>
      </x:c>
      <x:c r="K5" s="26" t="str">
        <x:v>N/A</x:v>
      </x:c>
      <x:c r="L5" s="26" t="str">
        <x:v>legacy/root callers remain</x:v>
      </x:c>
      <x:c r="M5" s="26" t="str">
        <x:v>PARTIAL</x:v>
      </x:c>
      <x:c r="N5" s="26" t="n">
        <x:v>2</x:v>
      </x:c>
      <x:c r="O5" s="26" t="str">
        <x:v>Authority is defined, but current positioning/launch docs still drift.</x:v>
      </x:c>
    </x:row>
    <x:row r="6" ht="42" customHeight="1">
      <x:c r="A6" s="26" t="str">
        <x:v>CAP-002</x:v>
      </x:c>
      <x:c r="B6" s="26" t="str">
        <x:v>Surfaces</x:v>
      </x:c>
      <x:c r="C6" s="26" t="str">
        <x:v>Public Website</x:v>
      </x:c>
      <x:c r="D6" s="26" t="str">
        <x:v>Public presentation surface; no truth owner</x:v>
      </x:c>
      <x:c r="E6" s="26" t="str">
        <x:v>No website root, HTML/CSS product surface or deploy config</x:v>
      </x:c>
      <x:c r="F6" s="26" t="str">
        <x:v>future website/</x:v>
      </x:c>
      <x:c r="G6" s="26" t="str">
        <x:v>None</x:v>
      </x:c>
      <x:c r="H6" s="26" t="str">
        <x:v>No production actions</x:v>
      </x:c>
      <x:c r="I6" s="26" t="str">
        <x:v>No production Evidence</x:v>
      </x:c>
      <x:c r="J6" s="26" t="str">
        <x:v>None</x:v>
      </x:c>
      <x:c r="K6" s="26" t="str">
        <x:v>ABSENT</x:v>
      </x:c>
      <x:c r="L6" s="26" t="str">
        <x:v>No second web owner</x:v>
      </x:c>
      <x:c r="M6" s="26" t="str">
        <x:v>ABSENT</x:v>
      </x:c>
      <x:c r="N6" s="26" t="n">
        <x:v>8</x:v>
      </x:c>
      <x:c r="O6" s="26" t="str">
        <x:v>Commercial product, demo, trial/contact/help and workspace entry are missing.</x:v>
      </x:c>
    </x:row>
    <x:row r="7" ht="42" customHeight="1">
      <x:c r="A7" s="26" t="str">
        <x:v>CAP-003</x:v>
      </x:c>
      <x:c r="B7" s="26" t="str">
        <x:v>Surfaces</x:v>
      </x:c>
      <x:c r="C7" s="26" t="str">
        <x:v>Web Workspace</x:v>
      </x:c>
      <x:c r="D7" s="26" t="str">
        <x:v>Flutter operational Experience over Product Core</x:v>
      </x:c>
      <x:c r="E7" s="26" t="str">
        <x:v>No Flutter web target or browser deployment</x:v>
      </x:c>
      <x:c r="F7" s="26" t="str">
        <x:v>app/ + canonical API/ViewModel</x:v>
      </x:c>
      <x:c r="G7" s="26" t="str">
        <x:v>Shared DB via API only</x:v>
      </x:c>
      <x:c r="H7" s="26" t="str">
        <x:v>Shared Permission</x:v>
      </x:c>
      <x:c r="I7" s="26" t="str">
        <x:v>Shared Evidence</x:v>
      </x:c>
      <x:c r="J7" s="26" t="str">
        <x:v>None</x:v>
      </x:c>
      <x:c r="K7" s="26" t="str">
        <x:v>ABSENT</x:v>
      </x:c>
      <x:c r="L7" s="26" t="str">
        <x:v>Desktop-only capability boundary required</x:v>
      </x:c>
      <x:c r="M7" s="26" t="str">
        <x:v>ABSENT</x:v>
      </x:c>
      <x:c r="N7" s="26" t="n">
        <x:v>8</x:v>
      </x:c>
      <x:c r="O7" s="26" t="str">
        <x:v>Commercial primary browser workspace is missing.</x:v>
      </x:c>
    </x:row>
    <x:row r="8" ht="42" customHeight="1">
      <x:c r="A8" s="26" t="str">
        <x:v>CAP-004</x:v>
      </x:c>
      <x:c r="B8" s="26" t="str">
        <x:v>Surfaces</x:v>
      </x:c>
      <x:c r="C8" s="26" t="str">
        <x:v>Desktop Power Client</x:v>
      </x:c>
      <x:c r="D8" s="26" t="str">
        <x:v>Flutter App + SYSTEM local capabilities</x:v>
      </x:c>
      <x:c r="E8" s="26" t="str">
        <x:v>Six Flutter workflow slices; Windows/macOS/Linux targets exist</x:v>
      </x:c>
      <x:c r="F8" s="26" t="str">
        <x:v>LumenisWorkspaceShell → six Screen widgets → Core client</x:v>
      </x:c>
      <x:c r="G8" s="26" t="str">
        <x:v>API-owned</x:v>
      </x:c>
      <x:c r="H8" s="26" t="str">
        <x:v>Backend gates</x:v>
      </x:c>
      <x:c r="I8" s="26" t="str">
        <x:v>Backend lineage</x:v>
      </x:c>
      <x:c r="J8" s="26" t="str">
        <x:v>79 Flutter tests PASS</x:v>
      </x:c>
      <x:c r="K8" s="26" t="str">
        <x:v>Package/live device unverified</x:v>
      </x:c>
      <x:c r="L8" s="26" t="str">
        <x:v>Must not own truth</x:v>
      </x:c>
      <x:c r="M8" s="26" t="str">
        <x:v>PARTIAL</x:v>
      </x:c>
      <x:c r="N8" s="26" t="n">
        <x:v>8</x:v>
      </x:c>
      <x:c r="O8" s="26" t="str">
        <x:v>Only six of 44 screens; no release/device evidence.</x:v>
      </x:c>
    </x:row>
    <x:row r="9" ht="42" customHeight="1">
      <x:c r="A9" s="26" t="str">
        <x:v>CAP-005</x:v>
      </x:c>
      <x:c r="B9" s="26" t="str">
        <x:v>Surfaces</x:v>
      </x:c>
      <x:c r="C9" s="26" t="str">
        <x:v>Mobile Companion</x:v>
      </x:c>
      <x:c r="D9" s="26" t="str">
        <x:v>Flutter mobile composition</x:v>
      </x:c>
      <x:c r="E9" s="26" t="str">
        <x:v>Responsive code for six slices; Android/iOS targets exist</x:v>
      </x:c>
      <x:c r="F9" s="26" t="str">
        <x:v>LayoutBuilder + mobile navigation</x:v>
      </x:c>
      <x:c r="G9" s="26" t="str">
        <x:v>API-owned</x:v>
      </x:c>
      <x:c r="H9" s="26" t="str">
        <x:v>Backend gates</x:v>
      </x:c>
      <x:c r="I9" s="26" t="str">
        <x:v>Backend lineage</x:v>
      </x:c>
      <x:c r="J9" s="26" t="str">
        <x:v>79 Flutter tests include 390px cases</x:v>
      </x:c>
      <x:c r="K9" s="26" t="str">
        <x:v>Real device unverified</x:v>
      </x:c>
      <x:c r="L9" s="26" t="str">
        <x:v>No local CDP/Cookie</x:v>
      </x:c>
      <x:c r="M9" s="26" t="str">
        <x:v>PARTIAL</x:v>
      </x:c>
      <x:c r="N9" s="26" t="n">
        <x:v>8</x:v>
      </x:c>
      <x:c r="O9" s="26" t="str">
        <x:v>Notification/approval/report companion is not implemented end to end.</x:v>
      </x:c>
    </x:row>
    <x:row r="10" ht="42" customHeight="1">
      <x:c r="A10" s="26" t="str">
        <x:v>CAP-006</x:v>
      </x:c>
      <x:c r="B10" s="26" t="str">
        <x:v>Experience</x:v>
      </x:c>
      <x:c r="C10" s="26" t="str">
        <x:v>44 screen contract set</x:v>
      </x:c>
      <x:c r="D10" s="26" t="str">
        <x:v>Experience Constitution</x:v>
      </x:c>
      <x:c r="E10" s="26" t="str">
        <x:v>44 contract directories, 132 JSON files; 54 binding rows</x:v>
      </x:c>
      <x:c r="F10" s="26" t="str">
        <x:v>screen_viewmodel → experience_screens builders</x:v>
      </x:c>
      <x:c r="G10" s="26" t="str">
        <x:v>Mixed</x:v>
      </x:c>
      <x:c r="H10" s="26" t="str">
        <x:v>Mostly optional global Basic only</x:v>
      </x:c>
      <x:c r="I10" s="26" t="str">
        <x:v>Mostly pending/unknown</x:v>
      </x:c>
      <x:c r="J10" s="26" t="str">
        <x:v>Blueprint validator PASS</x:v>
      </x:c>
      <x:c r="K10" s="26" t="str">
        <x:v>44 GET routes returned 200/bound=true</x:v>
      </x:c>
      <x:c r="L10" s="26" t="str">
        <x:v>Fixture is not production</x:v>
      </x:c>
      <x:c r="M10" s="26" t="str">
        <x:v>PARTIAL</x:v>
      </x:c>
      <x:c r="N10" s="26" t="n">
        <x:v>8</x:v>
      </x:c>
      <x:c r="O10" s="26" t="str">
        <x:v>Only six detailed specs and six Flutter screens; bound flag overstates readiness.</x:v>
      </x:c>
    </x:row>
    <x:row r="11" ht="42" customHeight="1">
      <x:c r="A11" s="26" t="str">
        <x:v>CAP-007</x:v>
      </x:c>
      <x:c r="B11" s="26" t="str">
        <x:v>Experience</x:v>
      </x:c>
      <x:c r="C11" s="26" t="str">
        <x:v>Purpose-built UI/UX specifications</x:v>
      </x:c>
      <x:c r="D11" s="26" t="str">
        <x:v>Experience Constitution + per-screen specs</x:v>
      </x:c>
      <x:c r="E11" s="26" t="str">
        <x:v>44 one-row blueprints; six detailed specs</x:v>
      </x:c>
      <x:c r="F11" s="26" t="str">
        <x:v>screen-specifications/&lt;ID&gt;.md</x:v>
      </x:c>
      <x:c r="G11" s="26" t="str">
        <x:v>—</x:v>
      </x:c>
      <x:c r="H11" s="26" t="str">
        <x:v>Per action</x:v>
      </x:c>
      <x:c r="I11" s="26" t="str">
        <x:v>Per field/action</x:v>
      </x:c>
      <x:c r="J11" s="26" t="str">
        <x:v>Six reviewed specs</x:v>
      </x:c>
      <x:c r="K11" s="26" t="str">
        <x:v>Not release evidence</x:v>
      </x:c>
      <x:c r="L11" s="26" t="str">
        <x:v>No generic renderer</x:v>
      </x:c>
      <x:c r="M11" s="26" t="str">
        <x:v>PARTIAL</x:v>
      </x:c>
      <x:c r="N11" s="26" t="n">
        <x:v>8</x:v>
      </x:c>
      <x:c r="O11" s="26" t="str">
        <x:v>38 detailed specs and executable sketches are absent from source.</x:v>
      </x:c>
    </x:row>
    <x:row r="12" ht="42" customHeight="1">
      <x:c r="A12" s="26" t="str">
        <x:v>CAP-008</x:v>
      </x:c>
      <x:c r="B12" s="26" t="str">
        <x:v>Experience</x:v>
      </x:c>
      <x:c r="C12" s="26" t="str">
        <x:v>Localization / accessibility / motion</x:v>
      </x:c>
      <x:c r="D12" s="26" t="str">
        <x:v>Experience foundation</x:v>
      </x:c>
      <x:c r="E12" s="26" t="str">
        <x:v>i18n deltas, Flutter semantics/reduced motion in current slices</x:v>
      </x:c>
      <x:c r="F12" s="26" t="str">
        <x:v>contracts/experience/i18n; Flutter widgets</x:v>
      </x:c>
      <x:c r="G12" s="26" t="str">
        <x:v>—</x:v>
      </x:c>
      <x:c r="H12" s="26" t="str">
        <x:v>—</x:v>
      </x:c>
      <x:c r="I12" s="26" t="str">
        <x:v>—</x:v>
      </x:c>
      <x:c r="J12" s="26" t="str">
        <x:v>Some widget coverage</x:v>
      </x:c>
      <x:c r="K12" s="26" t="str">
        <x:v>Device/screen reader unverified</x:v>
      </x:c>
      <x:c r="L12" s="26" t="str">
        <x:v>Shared primitives only</x:v>
      </x:c>
      <x:c r="M12" s="26" t="str">
        <x:v>PARTIAL</x:v>
      </x:c>
      <x:c r="N12" s="26" t="n">
        <x:v>8</x:v>
      </x:c>
      <x:c r="O12" s="26" t="str">
        <x:v>No full 44-screen/4-surface accessibility and locale acceptance.</x:v>
      </x:c>
    </x:row>
    <x:row r="13" ht="42" customHeight="1">
      <x:c r="A13" s="26" t="str">
        <x:v>CAP-009</x:v>
      </x:c>
      <x:c r="B13" s="26" t="str">
        <x:v>Core</x:v>
      </x:c>
      <x:c r="C13" s="26" t="str">
        <x:v>Account identity and recovery</x:v>
      </x:c>
      <x:c r="D13" s="26" t="str">
        <x:v>SYSTEM / Account</x:v>
      </x:c>
      <x:c r="E13" s="26" t="str">
        <x:v>v4 account tables/routes, recovery, TOTP, device/member/approval APIs</x:v>
      </x:c>
      <x:c r="F13" s="26" t="str">
        <x:v>account/api.py → account service/models</x:v>
      </x:c>
      <x:c r="G13" s="26" t="str">
        <x:v>v4_* account tables</x:v>
      </x:c>
      <x:c r="H13" s="26" t="str">
        <x:v>Account auth; business permission separate</x:v>
      </x:c>
      <x:c r="I13" s="26" t="str">
        <x:v>Audit logs, not business lineage</x:v>
      </x:c>
      <x:c r="J13" s="26" t="str">
        <x:v>Auth tests exist</x:v>
      </x:c>
      <x:c r="K13" s="26" t="str">
        <x:v>Pre-beta account wall disabled</x:v>
      </x:c>
      <x:c r="L13" s="26" t="str">
        <x:v>lumenis/auth duplicate compatibility</x:v>
      </x:c>
      <x:c r="M13" s="26" t="str">
        <x:v>PARTIAL</x:v>
      </x:c>
      <x:c r="N13" s="26" t="n">
        <x:v>4</x:v>
      </x:c>
      <x:c r="O13" s="26" t="str">
        <x:v>Post-beta product decision deferred; source contains sensitive bootstrap defaults requiring remediation.</x:v>
      </x:c>
    </x:row>
    <x:row r="14" ht="42" customHeight="1">
      <x:c r="A14" s="26" t="str">
        <x:v>CAP-010</x:v>
      </x:c>
      <x:c r="B14" s="26" t="str">
        <x:v>Core</x:v>
      </x:c>
      <x:c r="C14" s="26" t="str">
        <x:v>CTH Subject Context</x:v>
      </x:c>
      <x:c r="D14" s="26" t="str">
        <x:v>CTH Product Core</x:v>
      </x:c>
      <x:c r="E14" s="26" t="str">
        <x:v>subject_context.py + subject_registry.py + runtime identity</x:v>
      </x:c>
      <x:c r="F14" s="26" t="str">
        <x:v>request context → Subject → CTH reads</x:v>
      </x:c>
      <x:c r="G14" s="26" t="str">
        <x:v>Subject/canonical tables</x:v>
      </x:c>
      <x:c r="H14" s="26" t="str">
        <x:v>Per-Subject READ gap recorded</x:v>
      </x:c>
      <x:c r="I14" s="26" t="str">
        <x:v>Subject lineage partial</x:v>
      </x:c>
      <x:c r="J14" s="26" t="str">
        <x:v>Subject tests</x:v>
      </x:c>
      <x:c r="K14" s="26" t="str">
        <x:v>Live identity returns one Subject</x:v>
      </x:c>
      <x:c r="L14" s="26" t="str">
        <x:v>Must not infer ownership from lens</x:v>
      </x:c>
      <x:c r="M14" s="26" t="str">
        <x:v>PARTIAL</x:v>
      </x:c>
      <x:c r="N14" s="26" t="n">
        <x:v>4</x:v>
      </x:c>
      <x:c r="O14" s="26" t="str">
        <x:v>Read permission and external MDM/association data remain incomplete.</x:v>
      </x:c>
    </x:row>
    <x:row r="15" ht="42" customHeight="1">
      <x:c r="A15" s="26" t="str">
        <x:v>CAP-011</x:v>
      </x:c>
      <x:c r="B15" s="26" t="str">
        <x:v>Core</x:v>
      </x:c>
      <x:c r="C15" s="26" t="str">
        <x:v>BMP BrandFocus</x:v>
      </x:c>
      <x:c r="D15" s="26" t="str">
        <x:v>BMP Product Core</x:v>
      </x:c>
      <x:c r="E15" s="26" t="str">
        <x:v>domain context/brand sources and BMP builders</x:v>
      </x:c>
      <x:c r="F15" s="26" t="str">
        <x:v>request context → BrandFocus → BMP reads</x:v>
      </x:c>
      <x:c r="G15" s="26" t="str">
        <x:v>Brand/canonical tables</x:v>
      </x:c>
      <x:c r="H15" s="26" t="str">
        <x:v>Brand authorization partial</x:v>
      </x:c>
      <x:c r="I15" s="26" t="str">
        <x:v>Source lineage partial</x:v>
      </x:c>
      <x:c r="J15" s="26" t="str">
        <x:v>BMP isolation tests</x:v>
      </x:c>
      <x:c r="K15" s="26" t="str">
        <x:v>Live default is CTH</x:v>
      </x:c>
      <x:c r="L15" s="26" t="str">
        <x:v>No CTH Subject substitution</x:v>
      </x:c>
      <x:c r="M15" s="26" t="str">
        <x:v>PARTIAL</x:v>
      </x:c>
      <x:c r="N15" s="26" t="n">
        <x:v>4</x:v>
      </x:c>
      <x:c r="O15" s="26" t="str">
        <x:v>Authorized BrandFocus propagation and live workspace selection are incomplete.</x:v>
      </x:c>
    </x:row>
    <x:row r="16" ht="42" customHeight="1">
      <x:c r="A16" s="26" t="str">
        <x:v>CAP-012</x:v>
      </x:c>
      <x:c r="B16" s="26" t="str">
        <x:v>Core</x:v>
      </x:c>
      <x:c r="C16" s="26" t="str">
        <x:v>Permission / approval</x:v>
      </x:c>
      <x:c r="D16" s="26" t="str">
        <x:v>SYSTEM Security</x:v>
      </x:c>
      <x:c r="E16" s="26" t="str">
        <x:v>PermissionGate with operation/risk/role/domain decisions and approvals</x:v>
      </x:c>
      <x:c r="F16" s="26" t="str">
        <x:v>caller → PermissionGate.check/grant_approval</x:v>
      </x:c>
      <x:c r="G16" s="26" t="str">
        <x:v>Audit store</x:v>
      </x:c>
      <x:c r="H16" s="26" t="str">
        <x:v>Canonical owner exists</x:v>
      </x:c>
      <x:c r="I16" s="26" t="str">
        <x:v>AuditEntry</x:v>
      </x:c>
      <x:c r="J16" s="26" t="str">
        <x:v>Permission suites exist</x:v>
      </x:c>
      <x:c r="K16" s="26" t="str">
        <x:v>Screen GET enforcement mostly absent</x:v>
      </x:c>
      <x:c r="L16" s="26" t="str">
        <x:v>Legacy/adapters must delegate</x:v>
      </x:c>
      <x:c r="M16" s="26" t="str">
        <x:v>PARTIAL</x:v>
      </x:c>
      <x:c r="N16" s="26" t="n">
        <x:v>4</x:v>
      </x:c>
      <x:c r="O16" s="26" t="str">
        <x:v>Optional global Basic auth is not per-screen actor/target permission.</x:v>
      </x:c>
    </x:row>
    <x:row r="17" ht="42" customHeight="1">
      <x:c r="A17" s="26" t="str">
        <x:v>CAP-013</x:v>
      </x:c>
      <x:c r="B17" s="26" t="str">
        <x:v>Core</x:v>
      </x:c>
      <x:c r="C17" s="26" t="str">
        <x:v>Action Firewall / Effect Fence</x:v>
      </x:c>
      <x:c r="D17" s="26" t="str">
        <x:v>SYSTEM Security</x:v>
      </x:c>
      <x:c r="E17" s="26" t="str">
        <x:v>validate_action + idempotent staging reservations</x:v>
      </x:c>
      <x:c r="F17" s="26" t="str">
        <x:v>approved action → firewall → fence</x:v>
      </x:c>
      <x:c r="G17" s="26" t="str">
        <x:v>Operational reservation state</x:v>
      </x:c>
      <x:c r="H17" s="26" t="str">
        <x:v>Human approval required for effects</x:v>
      </x:c>
      <x:c r="I17" s="26" t="str">
        <x:v>Effect audit metadata</x:v>
      </x:c>
      <x:c r="J17" s="26" t="str">
        <x:v>Focused tests exist</x:v>
      </x:c>
      <x:c r="K17" s="26" t="str">
        <x:v>No full user workflow proof</x:v>
      </x:c>
      <x:c r="L17" s="26" t="str">
        <x:v>AI never authorizes effects</x:v>
      </x:c>
      <x:c r="M17" s="26" t="str">
        <x:v>PARTIAL</x:v>
      </x:c>
      <x:c r="N17" s="26" t="n">
        <x:v>4</x:v>
      </x:c>
      <x:c r="O17" s="26" t="str">
        <x:v>Most Experience actions are declarations without verified write/effect contracts.</x:v>
      </x:c>
    </x:row>
    <x:row r="18" ht="42" customHeight="1">
      <x:c r="A18" s="26" t="str">
        <x:v>CAP-014</x:v>
      </x:c>
      <x:c r="B18" s="26" t="str">
        <x:v>Core</x:v>
      </x:c>
      <x:c r="C18" s="26" t="str">
        <x:v>Shared Evidence</x:v>
      </x:c>
      <x:c r="D18" s="26" t="str">
        <x:v>Shared Evidence</x:v>
      </x:c>
      <x:c r="E18" s="26" t="str">
        <x:v>app_evidence_records + chain/manual/API + replay DLQ</x:v>
      </x:c>
      <x:c r="F18" s="26" t="str">
        <x:v>source/execution → record_evidence → query/trace</x:v>
      </x:c>
      <x:c r="G18" s="26" t="str">
        <x:v>app_evidence_records + zbc_evidence families</x:v>
      </x:c>
      <x:c r="H18" s="26" t="str">
        <x:v>Write gate; read scope incomplete</x:v>
      </x:c>
      <x:c r="I18" s="26" t="str">
        <x:v>Hashes/lineage fields</x:v>
      </x:c>
      <x:c r="J18" s="26" t="str">
        <x:v>Evidence suites exist</x:v>
      </x:c>
      <x:c r="K18" s="26" t="str">
        <x:v>Global store live; per-actor scope unverified</x:v>
      </x:c>
      <x:c r="L18" s="26" t="str">
        <x:v>Evidence implementations overlap</x:v>
      </x:c>
      <x:c r="M18" s="26" t="str">
        <x:v>PARTIAL</x:v>
      </x:c>
      <x:c r="N18" s="26" t="n">
        <x:v>4</x:v>
      </x:c>
      <x:c r="O18" s="26" t="str">
        <x:v>Actor/domain/object read scope and owner convergence are incomplete.</x:v>
      </x:c>
    </x:row>
    <x:row r="19" ht="42" customHeight="1">
      <x:c r="A19" s="26" t="str">
        <x:v>CAP-015</x:v>
      </x:c>
      <x:c r="B19" s="26" t="str">
        <x:v>Core</x:v>
      </x:c>
      <x:c r="C19" s="26" t="str">
        <x:v>Canonical Data</x:v>
      </x:c>
      <x:c r="D19" s="26" t="str">
        <x:v>Product Core</x:v>
      </x:c>
      <x:c r="E19" s="26" t="str">
        <x:v>canonical_data.py plus evidence-chain canonical table and business/platform schemas</x:v>
      </x:c>
      <x:c r="F19" s="26" t="str">
        <x:v>Evidence → canonical record → metric</x:v>
      </x:c>
      <x:c r="G19" s="26" t="str">
        <x:v>Canonical/business/platform tables</x:v>
      </x:c>
      <x:c r="H19" s="26" t="str">
        <x:v>Deterministic writer</x:v>
      </x:c>
      <x:c r="I19" s="26" t="str">
        <x:v>Source refs expected</x:v>
      </x:c>
      <x:c r="J19" s="26" t="str">
        <x:v>Canonical tests exist</x:v>
      </x:c>
      <x:c r="K19" s="26" t="str">
        <x:v>Production dataset acceptance pending</x:v>
      </x:c>
      <x:c r="L19" s="26" t="str">
        <x:v>Multiple historical representations</x:v>
      </x:c>
      <x:c r="M19" s="26" t="str">
        <x:v>PARTIAL</x:v>
      </x:c>
      <x:c r="N19" s="26" t="n">
        <x:v>3</x:v>
      </x:c>
      <x:c r="O19" s="26" t="str">
        <x:v>Canonical writers/readers and dual representations require closure.</x:v>
      </x:c>
    </x:row>
    <x:row r="20" ht="42" customHeight="1">
      <x:c r="A20" s="26" t="str">
        <x:v>CAP-016</x:v>
      </x:c>
      <x:c r="B20" s="26" t="str">
        <x:v>Core</x:v>
      </x:c>
      <x:c r="C20" s="26" t="str">
        <x:v>Metrics / Truth Table / ViewModel</x:v>
      </x:c>
      <x:c r="D20" s="26" t="str">
        <x:v>Product Core + Shared</x:v>
      </x:c>
      <x:c r="E20" s="26" t="str">
        <x:v>canonical_metrics.py, ui_view_model.py, viz providers, screen builders</x:v>
      </x:c>
      <x:c r="F20" s="26" t="str">
        <x:v>canonical data → metrics → ViewModel</x:v>
      </x:c>
      <x:c r="G20" s="26" t="str">
        <x:v>Read only</x:v>
      </x:c>
      <x:c r="H20" s="26" t="str">
        <x:v>Scoped read required</x:v>
      </x:c>
      <x:c r="I20" s="26" t="str">
        <x:v>Evidence refs mixed</x:v>
      </x:c>
      <x:c r="J20" s="26" t="str">
        <x:v>Tests exist</x:v>
      </x:c>
      <x:c r="K20" s="26" t="str">
        <x:v>44 builders callable</x:v>
      </x:c>
      <x:c r="L20" s="26" t="str">
        <x:v>FUNCTION_MAP/VIZ/Screen builders overlap</x:v>
      </x:c>
      <x:c r="M20" s="26" t="str">
        <x:v>PARTIAL</x:v>
      </x:c>
      <x:c r="N20" s="26" t="n">
        <x:v>3</x:v>
      </x:c>
      <x:c r="O20" s="26" t="str">
        <x:v>Definitions, missing-state semantics and source timestamps are not consistent across all screens.</x:v>
      </x:c>
    </x:row>
    <x:row r="21" ht="42" customHeight="1">
      <x:c r="A21" s="26" t="str">
        <x:v>CAP-017</x:v>
      </x:c>
      <x:c r="B21" s="26" t="str">
        <x:v>Core</x:v>
      </x:c>
      <x:c r="C21" s="26" t="str">
        <x:v>Database repository / migrations</x:v>
      </x:c>
      <x:c r="D21" s="26" t="str">
        <x:v>Shared Database</x:v>
      </x:c>
      <x:c r="E21" s="26" t="str">
        <x:v>Exclusive direct sqlite owner in connection.py/migrations.py</x:v>
      </x:c>
      <x:c r="F21" s="26" t="str">
        <x:v>caller → repository → canonical path</x:v>
      </x:c>
      <x:c r="G21" s="26" t="str">
        <x:v>147 static table names discovered</x:v>
      </x:c>
      <x:c r="H21" s="26" t="str">
        <x:v>Migration/backup approval</x:v>
      </x:c>
      <x:c r="I21" s="26" t="str">
        <x:v>DB change records</x:v>
      </x:c>
      <x:c r="J21" s="26" t="str">
        <x:v>Authority validators PASS</x:v>
      </x:c>
      <x:c r="K21" s="26" t="str">
        <x:v>Live WAL/SHM active; production tests gated</x:v>
      </x:c>
      <x:c r="L21" s="26" t="str">
        <x:v>Alembic/root schema compatibility</x:v>
      </x:c>
      <x:c r="M21" s="26" t="str">
        <x:v>TESTED</x:v>
      </x:c>
      <x:c r="N21" s="26" t="n">
        <x:v>3</x:v>
      </x:c>
      <x:c r="O21" s="26" t="str">
        <x:v>Production migration/rollback and schema convergence remain Round 15 gates.</x:v>
      </x:c>
    </x:row>
    <x:row r="22" ht="42" customHeight="1">
      <x:c r="A22" s="26" t="str">
        <x:v>CAP-018</x:v>
      </x:c>
      <x:c r="B22" s="26" t="str">
        <x:v>Core</x:v>
      </x:c>
      <x:c r="C22" s="26" t="str">
        <x:v>API truth / composition</x:v>
      </x:c>
      <x:c r="D22" s="26" t="str">
        <x:v>Product Core app.py + registered blueprints</x:v>
      </x:c>
      <x:c r="E22" s="26" t="str">
        <x:v>800 static route decorators; app.py and many compatibility blueprints</x:v>
      </x:c>
      <x:c r="F22" s="26" t="str">
        <x:v>surface → canonical endpoint → owner</x:v>
      </x:c>
      <x:c r="G22" s="26" t="str">
        <x:v>Mixed</x:v>
      </x:c>
      <x:c r="H22" s="26" t="str">
        <x:v>Mixed</x:v>
      </x:c>
      <x:c r="I22" s="26" t="str">
        <x:v>Mixed</x:v>
      </x:c>
      <x:c r="J22" s="26" t="str">
        <x:v>OpenAPI/tests partial</x:v>
      </x:c>
      <x:c r="K22" s="26" t="str">
        <x:v>Live service 8201</x:v>
      </x:c>
      <x:c r="L22" s="26" t="str">
        <x:v>Duplicate /api/ai/tasks and compatibility routes</x:v>
      </x:c>
      <x:c r="M22" s="26" t="str">
        <x:v>PARTIAL</x:v>
      </x:c>
      <x:c r="N22" s="26" t="n">
        <x:v>2</x:v>
      </x:c>
      <x:c r="O22" s="26" t="str">
        <x:v>Route ownership and generated OpenAPI/current runtime parity are not closed.</x:v>
      </x:c>
    </x:row>
    <x:row r="23" ht="42" customHeight="1">
      <x:c r="A23" s="26" t="str">
        <x:v>CAP-019</x:v>
      </x:c>
      <x:c r="B23" s="26" t="str">
        <x:v>Runtime</x:v>
      </x:c>
      <x:c r="C23" s="26" t="str">
        <x:v>Startup / supervisor / health</x:v>
      </x:c>
      <x:c r="D23" s="26" t="str">
        <x:v>SYSTEM Runtime</x:v>
      </x:c>
      <x:c r="E23" s="26" t="str">
        <x:v>start_production.ps1, run_supervised.py, /healthz</x:v>
      </x:c>
      <x:c r="F23" s="26" t="str">
        <x:v>launcher → supervisor → Flask/workers</x:v>
      </x:c>
      <x:c r="G23" s="26" t="str">
        <x:v>Operational stores</x:v>
      </x:c>
      <x:c r="H23" s="26" t="str">
        <x:v>Operator</x:v>
      </x:c>
      <x:c r="I23" s="26" t="str">
        <x:v>Health evidence partial</x:v>
      </x:c>
      <x:c r="J23" s="26" t="str">
        <x:v>Preflight tests</x:v>
      </x:c>
      <x:c r="K23" s="26" t="str">
        <x:v>OPERATING at 8201; health 200</x:v>
      </x:c>
      <x:c r="L23" s="26" t="str">
        <x:v>Root launchers</x:v>
      </x:c>
      <x:c r="M23" s="26" t="str">
        <x:v>LIVE_UNVERIFIED</x:v>
      </x:c>
      <x:c r="N23" s="26" t="n">
        <x:v>5</x:v>
      </x:c>
      <x:c r="O23" s="26" t="str">
        <x:v>Health payload is shallow and not full dependency readiness.</x:v>
      </x:c>
    </x:row>
    <x:row r="24" ht="42" customHeight="1">
      <x:c r="A24" s="26" t="str">
        <x:v>CAP-020</x:v>
      </x:c>
      <x:c r="B24" s="26" t="str">
        <x:v>Runtime</x:v>
      </x:c>
      <x:c r="C24" s="26" t="str">
        <x:v>RuntimeGuardian / queue / DLQ</x:v>
      </x:c>
      <x:c r="D24" s="26" t="str">
        <x:v>SYSTEM Runtime</x:v>
      </x:c>
      <x:c r="E24" s="26" t="str">
        <x:v>runtime_guardian.py and collector guard queues</x:v>
      </x:c>
      <x:c r="F24" s="26" t="str">
        <x:v>task → lease/worker → result/DLQ</x:v>
      </x:c>
      <x:c r="G24" s="26" t="str">
        <x:v>runtime_guardian_* / tasks</x:v>
      </x:c>
      <x:c r="H24" s="26" t="str">
        <x:v>Runtime operation</x:v>
      </x:c>
      <x:c r="I24" s="26" t="str">
        <x:v>Trace/DLQ</x:v>
      </x:c>
      <x:c r="J24" s="26" t="str">
        <x:v>Extensive tests</x:v>
      </x:c>
      <x:c r="K24" s="26" t="str">
        <x:v>Runtime reports zero workers</x:v>
      </x:c>
      <x:c r="L24" s="26" t="str">
        <x:v>Multiple task/queue paths</x:v>
      </x:c>
      <x:c r="M24" s="26" t="str">
        <x:v>PARTIAL</x:v>
      </x:c>
      <x:c r="N24" s="26" t="n">
        <x:v>5</x:v>
      </x:c>
      <x:c r="O24" s="26" t="str">
        <x:v>Recovery and long-run worker behavior need live acceptance.</x:v>
      </x:c>
    </x:row>
    <x:row r="25" ht="42" customHeight="1">
      <x:c r="A25" s="26" t="str">
        <x:v>CAP-021</x:v>
      </x:c>
      <x:c r="B25" s="26" t="str">
        <x:v>Runtime</x:v>
      </x:c>
      <x:c r="C25" s="26" t="str">
        <x:v>Recovery / self-repair</x:v>
      </x:c>
      <x:c r="D25" s="26" t="str">
        <x:v>SYSTEM Runtime</x:v>
      </x:c>
      <x:c r="E25" s="26" t="str">
        <x:v>auto_recovery, self_repair, full_self_repair, guardians</x:v>
      </x:c>
      <x:c r="F25" s="26" t="str">
        <x:v>failure → diagnose → authorized recovery → return</x:v>
      </x:c>
      <x:c r="G25" s="26" t="str">
        <x:v>Operational</x:v>
      </x:c>
      <x:c r="H25" s="26" t="str">
        <x:v>High-risk recovery approval</x:v>
      </x:c>
      <x:c r="I25" s="26" t="str">
        <x:v>Recovery trace</x:v>
      </x:c>
      <x:c r="J25" s="26" t="str">
        <x:v>Tests partial</x:v>
      </x:c>
      <x:c r="K25" s="26" t="str">
        <x:v>Live proof absent</x:v>
      </x:c>
      <x:c r="L25" s="26" t="str">
        <x:v>Several overlapping callers</x:v>
      </x:c>
      <x:c r="M25" s="26" t="str">
        <x:v>PARTIAL</x:v>
      </x:c>
      <x:c r="N25" s="26" t="n">
        <x:v>5</x:v>
      </x:c>
      <x:c r="O25" s="26" t="str">
        <x:v>One recovery owner and tested failure/return path not proved.</x:v>
      </x:c>
    </x:row>
    <x:row r="26" ht="42" customHeight="1">
      <x:c r="A26" s="26" t="str">
        <x:v>CAP-022</x:v>
      </x:c>
      <x:c r="B26" s="26" t="str">
        <x:v>Runtime</x:v>
      </x:c>
      <x:c r="C26" s="26" t="str">
        <x:v>Observability / logs / traces</x:v>
      </x:c>
      <x:c r="D26" s="26" t="str">
        <x:v>SYSTEM Runtime</x:v>
      </x:c>
      <x:c r="E26" s="26" t="str">
        <x:v>monitoring/logger/ai traces/guardian metrics</x:v>
      </x:c>
      <x:c r="F26" s="26" t="str">
        <x:v>request/task → correlated trace</x:v>
      </x:c>
      <x:c r="G26" s="26" t="str">
        <x:v>Logs + trace tables</x:v>
      </x:c>
      <x:c r="H26" s="26" t="str">
        <x:v>Operator read</x:v>
      </x:c>
      <x:c r="I26" s="26" t="str">
        <x:v>Correlation IDs partial</x:v>
      </x:c>
      <x:c r="J26" s="26" t="str">
        <x:v>Tests partial</x:v>
      </x:c>
      <x:c r="K26" s="26" t="str">
        <x:v>SYS-08 builder returns ready</x:v>
      </x:c>
      <x:c r="L26" s="26" t="str">
        <x:v>Multiple uncorrelated logs</x:v>
      </x:c>
      <x:c r="M26" s="26" t="str">
        <x:v>PARTIAL</x:v>
      </x:c>
      <x:c r="N26" s="26" t="n">
        <x:v>5</x:v>
      </x:c>
      <x:c r="O26" s="26" t="str">
        <x:v>Ready state is not backed by end-to-end correlated trace acceptance.</x:v>
      </x:c>
    </x:row>
    <x:row r="27" ht="42" customHeight="1">
      <x:c r="A27" s="26" t="str">
        <x:v>CAP-023</x:v>
      </x:c>
      <x:c r="B27" s="26" t="str">
        <x:v>Runtime</x:v>
      </x:c>
      <x:c r="C27" s="26" t="str">
        <x:v>Settings / module customization</x:v>
      </x:c>
      <x:c r="D27" s="26" t="str">
        <x:v>SYSTEM Settings</x:v>
      </x:c>
      <x:c r="E27" s="26" t="str">
        <x:v>module_registry + account nav + settings routes</x:v>
      </x:c>
      <x:c r="F27" s="26" t="str">
        <x:v>user preference → persisted config</x:v>
      </x:c>
      <x:c r="G27" s="26" t="str">
        <x:v>user_nav_config + JSON file</x:v>
      </x:c>
      <x:c r="H27" s="26" t="str">
        <x:v>Account/local preference</x:v>
      </x:c>
      <x:c r="I27" s="26" t="str">
        <x:v>Audit incomplete</x:v>
      </x:c>
      <x:c r="J27" s="26" t="str">
        <x:v>Route tests partial</x:v>
      </x:c>
      <x:c r="K27" s="26" t="str">
        <x:v>No Flutter SYS-05</x:v>
      </x:c>
      <x:c r="L27" s="26" t="str">
        <x:v>Module registry vs skill registry</x:v>
      </x:c>
      <x:c r="M27" s="26" t="str">
        <x:v>EXISTS_BUT_UNSCOPED</x:v>
      </x:c>
      <x:c r="N27" s="26" t="n">
        <x:v>14</x:v>
      </x:c>
      <x:c r="O27" s="26" t="str">
        <x:v>Useful module/store controls exist but are not surfaced and persistence ownership is split.</x:v>
      </x:c>
    </x:row>
    <x:row r="28" ht="42" customHeight="1">
      <x:c r="A28" s="26" t="str">
        <x:v>CAP-024</x:v>
      </x:c>
      <x:c r="B28" s="26" t="str">
        <x:v>Acquisition</x:v>
      </x:c>
      <x:c r="C28" s="26" t="str">
        <x:v>Collector orchestration</x:v>
      </x:c>
      <x:c r="D28" s="26" t="str">
        <x:v>SYSTEM Collector</x:v>
      </x:c>
      <x:c r="E28" s="26" t="str">
        <x:v>collector runtime, adapters, scheduler, guards</x:v>
      </x:c>
      <x:c r="F28" s="26" t="str">
        <x:v>schedule/task → collect → normalize → persist</x:v>
      </x:c>
      <x:c r="G28" s="26" t="str">
        <x:v>collection runs/platform tables</x:v>
      </x:c>
      <x:c r="H28" s="26" t="str">
        <x:v>Collector guard</x:v>
      </x:c>
      <x:c r="I28" s="26" t="str">
        <x:v>Collection Evidence</x:v>
      </x:c>
      <x:c r="J28" s="26" t="str">
        <x:v>26 collector-related test files</x:v>
      </x:c>
      <x:c r="K28" s="26" t="str">
        <x:v>Live session unverified</x:v>
      </x:c>
      <x:c r="L28" s="26" t="str">
        <x:v>Root collectors + canonical package</x:v>
      </x:c>
      <x:c r="M28" s="26" t="str">
        <x:v>PARTIAL</x:v>
      </x:c>
      <x:c r="N28" s="26" t="n">
        <x:v>6</x:v>
      </x:c>
      <x:c r="O28" s="26" t="str">
        <x:v>One runtime owner is declared; live pipeline and compatibility parity remain open.</x:v>
      </x:c>
    </x:row>
    <x:row r="29" ht="42" customHeight="1">
      <x:c r="A29" s="26" t="str">
        <x:v>CAP-025</x:v>
      </x:c>
      <x:c r="B29" s="26" t="str">
        <x:v>Acquisition</x:v>
      </x:c>
      <x:c r="C29" s="26" t="str">
        <x:v>Scheduler / rate limit / risk guard</x:v>
      </x:c>
      <x:c r="D29" s="26" t="str">
        <x:v>SYSTEM Collector</x:v>
      </x:c>
      <x:c r="E29" s="26" t="str">
        <x:v>policy/decider/planner/gate + risk/resource guards</x:v>
      </x:c>
      <x:c r="F29" s="26" t="str">
        <x:v>platform state → allow/deny/next run</x:v>
      </x:c>
      <x:c r="G29" s="26" t="str">
        <x:v>schedule decisions + JSON state</x:v>
      </x:c>
      <x:c r="H29" s="26" t="str">
        <x:v>Deterministic gate</x:v>
      </x:c>
      <x:c r="I29" s="26" t="str">
        <x:v>Decision audit</x:v>
      </x:c>
      <x:c r="J29" s="26" t="str">
        <x:v>Scheduling tests</x:v>
      </x:c>
      <x:c r="K29" s="26" t="str">
        <x:v>schedule_state was committed by auto-watch</x:v>
      </x:c>
      <x:c r="L29" s="26" t="str">
        <x:v>_init/__init__ compatibility</x:v>
      </x:c>
      <x:c r="M29" s="26" t="str">
        <x:v>PARTIAL</x:v>
      </x:c>
      <x:c r="N29" s="26" t="n">
        <x:v>6</x:v>
      </x:c>
      <x:c r="O29" s="26" t="str">
        <x:v>Mutable runtime state is now tracked inside the source tree; operational ownership and read-side-effect risk require resolution.</x:v>
      </x:c>
    </x:row>
    <x:row r="30" ht="42" customHeight="1">
      <x:c r="A30" s="26" t="str">
        <x:v>CAP-026</x:v>
      </x:c>
      <x:c r="B30" s="26" t="str">
        <x:v>Acquisition</x:v>
      </x:c>
      <x:c r="C30" s="26" t="str">
        <x:v>Multi-platform adapters</x:v>
      </x:c>
      <x:c r="D30" s="26" t="str">
        <x:v>SYSTEM Collector</x:v>
      </x:c>
      <x:c r="E30" s="26" t="str">
        <x:v>XHS, Weibo, Bilibili, Douyin, channels, public web and global platforms</x:v>
      </x:c>
      <x:c r="F30" s="26" t="str">
        <x:v>source config/session → raw records</x:v>
      </x:c>
      <x:c r="G30" s="26" t="str">
        <x:v>platform-specific + unified tables</x:v>
      </x:c>
      <x:c r="H30" s="26" t="str">
        <x:v>Per adapter</x:v>
      </x:c>
      <x:c r="I30" s="26" t="str">
        <x:v>Provenance exporter</x:v>
      </x:c>
      <x:c r="J30" s="26" t="str">
        <x:v>Adapter tests</x:v>
      </x:c>
      <x:c r="K30" s="26" t="str">
        <x:v>Most live states unverified</x:v>
      </x:c>
      <x:c r="L30" s="26" t="str">
        <x:v>lumenis/adapters and system/collector/adapters</x:v>
      </x:c>
      <x:c r="M30" s="26" t="str">
        <x:v>PARTIAL</x:v>
      </x:c>
      <x:c r="N30" s="26" t="n">
        <x:v>6</x:v>
      </x:c>
      <x:c r="O30" s="26" t="str">
        <x:v>Adapters exist at different maturity; registration is not live capability.</x:v>
      </x:c>
    </x:row>
    <x:row r="31" ht="42" customHeight="1">
      <x:c r="A31" s="26" t="str">
        <x:v>CAP-027</x:v>
      </x:c>
      <x:c r="B31" s="26" t="str">
        <x:v>Acquisition</x:v>
      </x:c>
      <x:c r="C31" s="26" t="str">
        <x:v>Public HTTP / RSS / Atom / Sitemap</x:v>
      </x:c>
      <x:c r="D31" s="26" t="str">
        <x:v>SYSTEM Collector</x:v>
      </x:c>
      <x:c r="E31" s="26" t="str">
        <x:v>public_source/public_http/web_rss/web_atom/sitemap</x:v>
      </x:c>
      <x:c r="F31" s="26" t="str">
        <x:v>public URL → Evidence → canonical</x:v>
      </x:c>
      <x:c r="G31" s="26" t="str">
        <x:v>platform/evidence tables</x:v>
      </x:c>
      <x:c r="H31" s="26" t="str">
        <x:v>Allowlist/rate policy</x:v>
      </x:c>
      <x:c r="I31" s="26" t="str">
        <x:v>Required</x:v>
      </x:c>
      <x:c r="J31" s="26" t="str">
        <x:v>Hermetic tests</x:v>
      </x:c>
      <x:c r="K31" s="26" t="str">
        <x:v>External live acceptance pending</x:v>
      </x:c>
      <x:c r="L31" s="26" t="str">
        <x:v>Old web discovery callers</x:v>
      </x:c>
      <x:c r="M31" s="26" t="str">
        <x:v>IMPLEMENTED</x:v>
      </x:c>
      <x:c r="N31" s="26" t="n">
        <x:v>6</x:v>
      </x:c>
      <x:c r="O31" s="26" t="str">
        <x:v>No Web Workspace source-management UX and no release live matrix.</x:v>
      </x:c>
    </x:row>
    <x:row r="32" ht="42" customHeight="1">
      <x:c r="A32" s="26" t="str">
        <x:v>CAP-028</x:v>
      </x:c>
      <x:c r="B32" s="26" t="str">
        <x:v>Acquisition</x:v>
      </x:c>
      <x:c r="C32" s="26" t="str">
        <x:v>XHS / RedNote acquisition</x:v>
      </x:c>
      <x:c r="D32" s="26" t="str">
        <x:v>SYSTEM Collector + Browser</x:v>
      </x:c>
      <x:c r="E32" s="26" t="str">
        <x:v>xhs client/collector/live engine, cookie bridge, CDP collector, HK policy</x:v>
      </x:c>
      <x:c r="F32" s="26" t="str">
        <x:v>authorized session → records/evidence</x:v>
      </x:c>
      <x:c r="G32" s="26" t="str">
        <x:v>xhs/platform/evidence tables</x:v>
      </x:c>
      <x:c r="H32" s="26" t="str">
        <x:v>Session/risk policy</x:v>
      </x:c>
      <x:c r="I32" s="26" t="str">
        <x:v>Lineage tests</x:v>
      </x:c>
      <x:c r="J32" s="26" t="str">
        <x:v>Many focused tests</x:v>
      </x:c>
      <x:c r="K32" s="26" t="str">
        <x:v>CDP/Edge present; login/data live unverified</x:v>
      </x:c>
      <x:c r="L32" s="26" t="str">
        <x:v>Root compatibility chain</x:v>
      </x:c>
      <x:c r="M32" s="26" t="str">
        <x:v>LIVE_UNVERIFIED</x:v>
      </x:c>
      <x:c r="N32" s="26" t="n">
        <x:v>6</x:v>
      </x:c>
      <x:c r="O32" s="26" t="str">
        <x:v>Cookie/session, 300012, provenance and no-new-data must pass live gate.</x:v>
      </x:c>
    </x:row>
    <x:row r="33" ht="42" customHeight="1">
      <x:c r="A33" s="26" t="str">
        <x:v>CAP-029</x:v>
      </x:c>
      <x:c r="B33" s="26" t="str">
        <x:v>Acquisition</x:v>
      </x:c>
      <x:c r="C33" s="26" t="str">
        <x:v>Browser / CDP runtime</x:v>
      </x:c>
      <x:c r="D33" s="26" t="str">
        <x:v>SYSTEM Browser</x:v>
      </x:c>
      <x:c r="E33" s="26" t="str">
        <x:v>router/policy/contract + CDP/Playwright adapters</x:v>
      </x:c>
      <x:c r="F33" s="26" t="str">
        <x:v>authorized browser task → capture/result</x:v>
      </x:c>
      <x:c r="G33" s="26" t="str">
        <x:v>Browser operational state</x:v>
      </x:c>
      <x:c r="H33" s="26" t="str">
        <x:v>Browser policy/effect gate</x:v>
      </x:c>
      <x:c r="I33" s="26" t="str">
        <x:v>Capture Evidence</x:v>
      </x:c>
      <x:c r="J33" s="26" t="str">
        <x:v>20 browser-related test files</x:v>
      </x:c>
      <x:c r="K33" s="26" t="str">
        <x:v>CDP 9223 present</x:v>
      </x:c>
      <x:c r="L33" s="26" t="str">
        <x:v>ai_browser/internal_browser compatibility</x:v>
      </x:c>
      <x:c r="M33" s="26" t="str">
        <x:v>LIVE_UNVERIFIED</x:v>
      </x:c>
      <x:c r="N33" s="26" t="n">
        <x:v>6</x:v>
      </x:c>
      <x:c r="O33" s="26" t="str">
        <x:v>Resident browser does not prove safe capture, recovery or return.</x:v>
      </x:c>
    </x:row>
    <x:row r="34" ht="42" customHeight="1">
      <x:c r="A34" s="26" t="str">
        <x:v>CAP-030</x:v>
      </x:c>
      <x:c r="B34" s="26" t="str">
        <x:v>Acquisition</x:v>
      </x:c>
      <x:c r="C34" s="26" t="str">
        <x:v>Cookie / session / auth recovery</x:v>
      </x:c>
      <x:c r="D34" s="26" t="str">
        <x:v>SYSTEM Browser/Collector</x:v>
      </x:c>
      <x:c r="E34" s="26" t="str">
        <x:v>cookie vault/bridge, browser session, recovery center</x:v>
      </x:c>
      <x:c r="F34" s="26" t="str">
        <x:v>session state → pause/recover/resume</x:v>
      </x:c>
      <x:c r="G34" s="26" t="str">
        <x:v>Runtime-only secret state</x:v>
      </x:c>
      <x:c r="H34" s="26" t="str">
        <x:v>Manual verification</x:v>
      </x:c>
      <x:c r="I34" s="26" t="str">
        <x:v>Session audit</x:v>
      </x:c>
      <x:c r="J34" s="26" t="str">
        <x:v>Tests partial</x:v>
      </x:c>
      <x:c r="K34" s="26" t="str">
        <x:v>Secrets not inspected</x:v>
      </x:c>
      <x:c r="L34" s="26" t="str">
        <x:v>Several login managers</x:v>
      </x:c>
      <x:c r="M34" s="26" t="str">
        <x:v>PARTIAL</x:v>
      </x:c>
      <x:c r="N34" s="26" t="n">
        <x:v>6</x:v>
      </x:c>
      <x:c r="O34" s="26" t="str">
        <x:v>Must preserve platform identity separation and prove recovery without exposing secrets.</x:v>
      </x:c>
    </x:row>
    <x:row r="35" ht="42" customHeight="1">
      <x:c r="A35" s="26" t="str">
        <x:v>CAP-031</x:v>
      </x:c>
      <x:c r="B35" s="26" t="str">
        <x:v>AI</x:v>
      </x:c>
      <x:c r="C35" s="26" t="str">
        <x:v>One AI Gateway</x:v>
      </x:c>
      <x:c r="D35" s="26" t="str">
        <x:v>SYSTEM AI Gateway</x:v>
      </x:c>
      <x:c r="E35" s="26" t="str">
        <x:v>core/channel/providers with compatibility callers</x:v>
      </x:c>
      <x:c r="F35" s="26" t="str">
        <x:v>typed AI request → provider/fallback → derivative result</x:v>
      </x:c>
      <x:c r="G35" s="26" t="str">
        <x:v>AI call logs/resource packs</x:v>
      </x:c>
      <x:c r="H35" s="26" t="str">
        <x:v>AI call permission</x:v>
      </x:c>
      <x:c r="I35" s="26" t="str">
        <x:v>Provider/call trace</x:v>
      </x:c>
      <x:c r="J35" s="26" t="str">
        <x:v>AI suites</x:v>
      </x:c>
      <x:c r="K35" s="26" t="str">
        <x:v>Live endpoints respond but disagree</x:v>
      </x:c>
      <x:c r="L35" s="26" t="str">
        <x:v>intelligence.py/local_ai_client/ai_hub</x:v>
      </x:c>
      <x:c r="M35" s="26" t="str">
        <x:v>PARTIAL</x:v>
      </x:c>
      <x:c r="N35" s="26" t="n">
        <x:v>7</x:v>
      </x:c>
      <x:c r="O35" s="26" t="str">
        <x:v>Provider-state semantics and duplicate callers are not converged.</x:v>
      </x:c>
    </x:row>
    <x:row r="36" ht="42" customHeight="1">
      <x:c r="A36" s="26" t="str">
        <x:v>CAP-032</x:v>
      </x:c>
      <x:c r="B36" s="26" t="str">
        <x:v>AI</x:v>
      </x:c>
      <x:c r="C36" s="26" t="str">
        <x:v>Ollama local AI</x:v>
      </x:c>
      <x:c r="D36" s="26" t="str">
        <x:v>SYSTEM AI Gateway provider</x:v>
      </x:c>
      <x:c r="E36" s="26" t="str">
        <x:v>core auto-detects Ollama; qwen/bge models installed</x:v>
      </x:c>
      <x:c r="F36" s="26" t="str">
        <x:v>gateway → Ollama HTTP → result</x:v>
      </x:c>
      <x:c r="G36" s="26" t="str">
        <x:v>No truth ownership</x:v>
      </x:c>
      <x:c r="H36" s="26" t="str">
        <x:v>AI permission</x:v>
      </x:c>
      <x:c r="I36" s="26" t="str">
        <x:v>Derivative trace required</x:v>
      </x:c>
      <x:c r="J36" s="26" t="str">
        <x:v>Local inference performed</x:v>
      </x:c>
      <x:c r="K36" s="26" t="str">
        <x:v>OPERATING daemon; product status conflict</x:v>
      </x:c>
      <x:c r="L36" s="26" t="str">
        <x:v>Direct/local compatibility callers</x:v>
      </x:c>
      <x:c r="M36" s="26" t="str">
        <x:v>OPERATING</x:v>
      </x:c>
      <x:c r="N36" s="26" t="n">
        <x:v>7</x:v>
      </x:c>
      <x:c r="O36" s="26" t="str">
        <x:v>Daemon/model are real; user workflow, fallback and Evidence acceptance remain partial.</x:v>
      </x:c>
    </x:row>
    <x:row r="37" ht="42" customHeight="1">
      <x:c r="A37" s="26" t="str">
        <x:v>CAP-033</x:v>
      </x:c>
      <x:c r="B37" s="26" t="str">
        <x:v>AI</x:v>
      </x:c>
      <x:c r="C37" s="26" t="str">
        <x:v>Zhipu cloud provider</x:v>
      </x:c>
      <x:c r="D37" s="26" t="str">
        <x:v>SYSTEM AI Gateway provider</x:v>
      </x:c>
      <x:c r="E37" s="26" t="str">
        <x:v>Gateway code/env contract exists</x:v>
      </x:c>
      <x:c r="F37" s="26" t="str">
        <x:v>gateway → explicit cloud provider</x:v>
      </x:c>
      <x:c r="G37" s="26" t="str">
        <x:v>Resource pack/logs</x:v>
      </x:c>
      <x:c r="H37" s="26" t="str">
        <x:v>Explicit cloud permission/privacy</x:v>
      </x:c>
      <x:c r="I37" s="26" t="str">
        <x:v>Call trace</x:v>
      </x:c>
      <x:c r="J37" s="26" t="str">
        <x:v>Historical tests/docs</x:v>
      </x:c>
      <x:c r="K37" s="26" t="str">
        <x:v>Not probed in this audit</x:v>
      </x:c>
      <x:c r="L37" s="26" t="str">
        <x:v>Historical docs claim ACTIVE</x:v>
      </x:c>
      <x:c r="M37" s="26" t="str">
        <x:v>LIVE_UNVERIFIED</x:v>
      </x:c>
      <x:c r="N37" s="26" t="n">
        <x:v>7</x:v>
      </x:c>
      <x:c r="O37" s="26" t="str">
        <x:v>Current live status, cost/privacy/fallback and product use not verified; no credential is included.</x:v>
      </x:c>
    </x:row>
    <x:row r="38" ht="42" customHeight="1">
      <x:c r="A38" s="26" t="str">
        <x:v>CAP-034</x:v>
      </x:c>
      <x:c r="B38" s="26" t="str">
        <x:v>AI</x:v>
      </x:c>
      <x:c r="C38" s="26" t="str">
        <x:v>Jev typed decision/evaluation provider</x:v>
      </x:c>
      <x:c r="D38" s="26" t="str">
        <x:v>SYSTEM AI Gateway candidate</x:v>
      </x:c>
      <x:c r="E38" s="26" t="str">
        <x:v>Governance-approved boundary only; no adapter</x:v>
      </x:c>
      <x:c r="F38" s="26" t="str">
        <x:v>typed input → Jev → candidate + confidence</x:v>
      </x:c>
      <x:c r="G38" s="26" t="str">
        <x:v>No truth ownership</x:v>
      </x:c>
      <x:c r="H38" s="26" t="str">
        <x:v>Permission + human decision</x:v>
      </x:c>
      <x:c r="I38" s="26" t="str">
        <x:v>Full trace required</x:v>
      </x:c>
      <x:c r="J38" s="26" t="str">
        <x:v>None</x:v>
      </x:c>
      <x:c r="K38" s="26" t="str">
        <x:v>ABSENT</x:v>
      </x:c>
      <x:c r="L38" s="26" t="str">
        <x:v>Must not be second gateway</x:v>
      </x:c>
      <x:c r="M38" s="26" t="str">
        <x:v>ABSENT</x:v>
      </x:c>
      <x:c r="N38" s="26" t="n">
        <x:v>7</x:v>
      </x:c>
      <x:c r="O38" s="26" t="str">
        <x:v>Implementation, legal/cost/privacy, shadow eval, confidence handling and rollback absent.</x:v>
      </x:c>
    </x:row>
    <x:row r="39" ht="42" customHeight="1">
      <x:c r="A39" s="26" t="str">
        <x:v>CAP-035</x:v>
      </x:c>
      <x:c r="B39" s="26" t="str">
        <x:v>AI</x:v>
      </x:c>
      <x:c r="C39" s="26" t="str">
        <x:v>AI task engine</x:v>
      </x:c>
      <x:c r="D39" s="26" t="str">
        <x:v>Shared Agent/SYSTEM execution</x:v>
      </x:c>
      <x:c r="E39" s="26" t="str">
        <x:v>create/parse/permission/execute/verify/approve/cancel + task/evidence/trace tables</x:v>
      </x:c>
      <x:c r="F39" s="26" t="str">
        <x:v>intent → task stages → verified result</x:v>
      </x:c>
      <x:c r="G39" s="26" t="str">
        <x:v>ai_task*</x:v>
      </x:c>
      <x:c r="H39" s="26" t="str">
        <x:v>PermissionGate</x:v>
      </x:c>
      <x:c r="I39" s="26" t="str">
        <x:v>Task evidence chain</x:v>
      </x:c>
      <x:c r="J39" s="26" t="str">
        <x:v>107 focused tests include task engine</x:v>
      </x:c>
      <x:c r="K39" s="26" t="str">
        <x:v>No full actor-scoped E2E</x:v>
      </x:c>
      <x:c r="L39" s="26" t="str">
        <x:v>Duplicate /api/ai/tasks in app.py and ai_api.py</x:v>
      </x:c>
      <x:c r="M39" s="26" t="str">
        <x:v>TESTED</x:v>
      </x:c>
      <x:c r="N39" s="26" t="n">
        <x:v>7</x:v>
      </x:c>
      <x:c r="O39" s="26" t="str">
        <x:v>Current API owner and business-scope propagation need convergence.</x:v>
      </x:c>
    </x:row>
    <x:row r="40" ht="42" customHeight="1">
      <x:c r="A40" s="26" t="str">
        <x:v>CAP-036</x:v>
      </x:c>
      <x:c r="B40" s="26" t="str">
        <x:v>Agents</x:v>
      </x:c>
      <x:c r="C40" s="26" t="str">
        <x:v>Agent runtime / delegation / memory</x:v>
      </x:c>
      <x:c r="D40" s="26" t="str">
        <x:v>Shared Agent runtime</x:v>
      </x:c>
      <x:c r="E40" s="26" t="str">
        <x:v>adapters, agent groups/capabilities/smart tools/memory</x:v>
      </x:c>
      <x:c r="F40" s="26" t="str">
        <x:v>task → bounded agent/tool → result</x:v>
      </x:c>
      <x:c r="G40" s="26" t="str">
        <x:v>Execution/memory stores</x:v>
      </x:c>
      <x:c r="H40" s="26" t="str">
        <x:v>Delegation/permission</x:v>
      </x:c>
      <x:c r="I40" s="26" t="str">
        <x:v>Execution artifacts</x:v>
      </x:c>
      <x:c r="J40" s="26" t="str">
        <x:v>Many agent tests</x:v>
      </x:c>
      <x:c r="K40" s="26" t="str">
        <x:v>No complete AI-02 surface</x:v>
      </x:c>
      <x:c r="L40" s="26" t="str">
        <x:v>External OSAI adapters</x:v>
      </x:c>
      <x:c r="M40" s="26" t="str">
        <x:v>PARTIAL</x:v>
      </x:c>
      <x:c r="N40" s="26" t="n">
        <x:v>7</x:v>
      </x:c>
      <x:c r="O40" s="26" t="str">
        <x:v>Multiple runtime/capability paths and no canonical user workbench closure.</x:v>
      </x:c>
    </x:row>
    <x:row r="41" ht="42" customHeight="1">
      <x:c r="A41" s="26" t="str">
        <x:v>CAP-037</x:v>
      </x:c>
      <x:c r="B41" s="26" t="str">
        <x:v>Agents</x:v>
      </x:c>
      <x:c r="C41" s="26" t="str">
        <x:v>LUMENIS Product Skill Store</x:v>
      </x:c>
      <x:c r="D41" s="26" t="str">
        <x:v>Shared Agent Skill Registry</x:v>
      </x:c>
      <x:c r="E41" s="26" t="str">
        <x:v>SkillMetadata registry + SQLite skills_registry + package preview/register/activate + MCP execution/history</x:v>
      </x:c>
      <x:c r="F41" s="26" t="str">
        <x:v>discover → inspect → permission → enable → run → verify → update/disable</x:v>
      </x:c>
      <x:c r="G41" s="26" t="str">
        <x:v>skills_registry + skill_executions</x:v>
      </x:c>
      <x:c r="H41" s="26" t="str">
        <x:v>Skill execution permission + approval</x:v>
      </x:c>
      <x:c r="I41" s="26" t="str">
        <x:v>Execution evidence/artifact</x:v>
      </x:c>
      <x:c r="J41" s="26" t="str">
        <x:v>107 focused tests PASS</x:v>
      </x:c>
      <x:c r="K41" s="26" t="str">
        <x:v>AI-04 renders old 19-item FUNCTION_MAP; no App UI</x:v>
      </x:c>
      <x:c r="L41" s="26" t="str">
        <x:v>Three catalogs plus function/module registries</x:v>
      </x:c>
      <x:c r="M41" s="26" t="str">
        <x:v>PARTIAL</x:v>
      </x:c>
      <x:c r="N41" s="26" t="n">
        <x:v>7</x:v>
      </x:c>
      <x:c r="O41" s="26" t="str">
        <x:v>P0 preserve/restore: backend exists but catalog truth, lifecycle, trust, update/uninstall, health and product UX are split/missing.</x:v>
      </x:c>
    </x:row>
    <x:row r="42" ht="42" customHeight="1">
      <x:c r="A42" s="26" t="str">
        <x:v>CAP-038</x:v>
      </x:c>
      <x:c r="B42" s="26" t="str">
        <x:v>Agents</x:v>
      </x:c>
      <x:c r="C42" s="26" t="str">
        <x:v>External Skill/MCP package admission</x:v>
      </x:c>
      <x:c r="D42" s="26" t="str">
        <x:v>Shared Agent Skill package runtime</x:v>
      </x:c>
      <x:c r="E42" s="26" t="str">
        <x:v>GitHub/local/zip/SKILL.md/MCP metadata preview and bounded call</x:v>
      </x:c>
      <x:c r="F42" s="26" t="str">
        <x:v>source → validate/pin → register disabled → activate → execute</x:v>
      </x:c>
      <x:c r="G42" s="26" t="str">
        <x:v>skills_registry columns</x:v>
      </x:c>
      <x:c r="H42" s="26" t="str">
        <x:v>Requested/granted scopes + human approval</x:v>
      </x:c>
      <x:c r="I42" s="26" t="str">
        <x:v>Digest/execution history</x:v>
      </x:c>
      <x:c r="J42" s="26" t="str">
        <x:v>Package tests PASS</x:v>
      </x:c>
      <x:c r="K42" s="26" t="str">
        <x:v>No commercial UI</x:v>
      </x:c>
      <x:c r="L42" s="26" t="str">
        <x:v>No arbitrary executor allowed</x:v>
      </x:c>
      <x:c r="M42" s="26" t="str">
        <x:v>TESTED</x:v>
      </x:c>
      <x:c r="N42" s="26" t="n">
        <x:v>7</x:v>
      </x:c>
      <x:c r="O42" s="26" t="str">
        <x:v>Publisher/license/signature/scanning/update/uninstall and runtime isolation gates incomplete.</x:v>
      </x:c>
    </x:row>
    <x:row r="43" ht="42" customHeight="1">
      <x:c r="A43" s="26" t="str">
        <x:v>CAP-039</x:v>
      </x:c>
      <x:c r="B43" s="26" t="str">
        <x:v>Agents</x:v>
      </x:c>
      <x:c r="C43" s="26" t="str">
        <x:v>Function and module catalogs</x:v>
      </x:c>
      <x:c r="D43" s="26" t="str">
        <x:v>Compatibility callers to canonical registries</x:v>
      </x:c>
      <x:c r="E43" s="26" t="str">
        <x:v>FUNCTION_MAP/VIZ_FUNCTIONS/module registry/SHARED_SKILL_CATALOG</x:v>
      </x:c>
      <x:c r="F43" s="26" t="str">
        <x:v>catalog → screen/AI routing</x:v>
      </x:c>
      <x:c r="G43" s="26" t="str">
        <x:v>JSON + user config</x:v>
      </x:c>
      <x:c r="H43" s="26" t="str">
        <x:v>Mixed</x:v>
      </x:c>
      <x:c r="I43" s="26" t="str">
        <x:v>Mixed</x:v>
      </x:c>
      <x:c r="J43" s="26" t="str">
        <x:v>Tests partial</x:v>
      </x:c>
      <x:c r="K43" s="26" t="str">
        <x:v>Some APIs live</x:v>
      </x:c>
      <x:c r="L43" s="26" t="str">
        <x:v>Competing product catalogs</x:v>
      </x:c>
      <x:c r="M43" s="26" t="str">
        <x:v>PARTIAL</x:v>
      </x:c>
      <x:c r="N43" s="26" t="n">
        <x:v>7</x:v>
      </x:c>
      <x:c r="O43" s="26" t="str">
        <x:v>Must absorb unique behavior into one capability truth without losing module customization.</x:v>
      </x:c>
    </x:row>
    <x:row r="44" ht="42" customHeight="1">
      <x:c r="A44" s="26" t="str">
        <x:v>CAP-040</x:v>
      </x:c>
      <x:c r="B44" s="26" t="str">
        <x:v>Shared</x:v>
      </x:c>
      <x:c r="C44" s="26" t="str">
        <x:v>Content creation</x:v>
      </x:c>
      <x:c r="D44" s="26" t="str">
        <x:v>Shared Creation</x:v>
      </x:c>
      <x:c r="E44" s="26" t="str">
        <x:v>content_generation + shared skill catalog + artifact flow</x:v>
      </x:c>
      <x:c r="F44" s="26" t="str">
        <x:v>brief/evidence → draft/version → review/approval</x:v>
      </x:c>
      <x:c r="G44" s="26" t="str">
        <x:v>Artifact/content stores</x:v>
      </x:c>
      <x:c r="H44" s="26" t="str">
        <x:v>Publish effect gated</x:v>
      </x:c>
      <x:c r="I44" s="26" t="str">
        <x:v>Citations/version lineage</x:v>
      </x:c>
      <x:c r="J44" s="26" t="str">
        <x:v>Tests partial</x:v>
      </x:c>
      <x:c r="K44" s="26" t="str">
        <x:v>SH-01 is catalog-only slice</x:v>
      </x:c>
      <x:c r="L44" s="26" t="str">
        <x:v>BMP content paths</x:v>
      </x:c>
      <x:c r="M44" s="26" t="str">
        <x:v>PARTIAL</x:v>
      </x:c>
      <x:c r="N44" s="26" t="n">
        <x:v>7</x:v>
      </x:c>
      <x:c r="O44" s="26" t="str">
        <x:v>No complete editor/version/review/publish workflow.</x:v>
      </x:c>
    </x:row>
    <x:row r="45" ht="42" customHeight="1">
      <x:c r="A45" s="26" t="str">
        <x:v>CAP-041</x:v>
      </x:c>
      <x:c r="B45" s="26" t="str">
        <x:v>Shared</x:v>
      </x:c>
      <x:c r="C45" s="26" t="str">
        <x:v>Podcast production</x:v>
      </x:c>
      <x:c r="D45" s="26" t="str">
        <x:v>BMP/Shared</x:v>
      </x:c>
      <x:c r="E45" s="26" t="str">
        <x:v>podcast_routes + podcast_store + shared skill</x:v>
      </x:c>
      <x:c r="F45" s="26" t="str">
        <x:v>brief/research/audio → episode asset</x:v>
      </x:c>
      <x:c r="G45" s="26" t="str">
        <x:v>Podcast store</x:v>
      </x:c>
      <x:c r="H45" s="26" t="str">
        <x:v>Rights/approval</x:v>
      </x:c>
      <x:c r="I45" s="26" t="str">
        <x:v>Source/timecode lineage</x:v>
      </x:c>
      <x:c r="J45" s="26" t="str">
        <x:v>Smoke tests</x:v>
      </x:c>
      <x:c r="K45" s="26" t="str">
        <x:v>No App screen</x:v>
      </x:c>
      <x:c r="L45" s="26" t="str">
        <x:v>General content vs podcast</x:v>
      </x:c>
      <x:c r="M45" s="26" t="str">
        <x:v>PARTIAL</x:v>
      </x:c>
      <x:c r="N45" s="26" t="n">
        <x:v>13</x:v>
      </x:c>
      <x:c r="O45" s="26" t="str">
        <x:v>Audio/transcript/source/version/export workflow absent in surfaces.</x:v>
      </x:c>
    </x:row>
    <x:row r="46" ht="42" customHeight="1">
      <x:c r="A46" s="26" t="str">
        <x:v>CAP-042</x:v>
      </x:c>
      <x:c r="B46" s="26" t="str">
        <x:v>Shared</x:v>
      </x:c>
      <x:c r="C46" s="26" t="str">
        <x:v>Reporting / export</x:v>
      </x:c>
      <x:c r="D46" s="26" t="str">
        <x:v>Shared Reporting</x:v>
      </x:c>
      <x:c r="E46" s="26" t="str">
        <x:v>engine/routes/export/artifact/word_pdf</x:v>
      </x:c>
      <x:c r="F46" s="26" t="str">
        <x:v>truth + period → report artifact</x:v>
      </x:c>
      <x:c r="G46" s="26" t="str">
        <x:v>daily/domain report stores</x:v>
      </x:c>
      <x:c r="H46" s="26" t="str">
        <x:v>Report/export permission</x:v>
      </x:c>
      <x:c r="I46" s="26" t="str">
        <x:v>Methodology/source list</x:v>
      </x:c>
      <x:c r="J46" s="26" t="str">
        <x:v>11 report test files</x:v>
      </x:c>
      <x:c r="K46" s="26" t="str">
        <x:v>Catalog routes live; effect incomplete</x:v>
      </x:c>
      <x:c r="L46" s="26" t="str">
        <x:v>Multiple root/report paths</x:v>
      </x:c>
      <x:c r="M46" s="26" t="str">
        <x:v>PARTIAL</x:v>
      </x:c>
      <x:c r="N46" s="26" t="n">
        <x:v>7</x:v>
      </x:c>
      <x:c r="O46" s="26" t="str">
        <x:v>One report owner, scoped export, audited artifact retrieval and formats not closed.</x:v>
      </x:c>
    </x:row>
    <x:row r="47" ht="42" customHeight="1">
      <x:c r="A47" s="26" t="str">
        <x:v>CAP-043</x:v>
      </x:c>
      <x:c r="B47" s="26" t="str">
        <x:v>Shared</x:v>
      </x:c>
      <x:c r="C47" s="26" t="str">
        <x:v>Evaluation</x:v>
      </x:c>
      <x:c r="D47" s="26" t="str">
        <x:v>Shared Evaluation</x:v>
      </x:c>
      <x:c r="E47" s="26" t="str">
        <x:v>runner/dimensions/recorder/trajectory/benchmark</x:v>
      </x:c>
      <x:c r="F47" s="26" t="str">
        <x:v>result + evidence → score/finding</x:v>
      </x:c>
      <x:c r="G47" s="26" t="str">
        <x:v>evaluation_records</x:v>
      </x:c>
      <x:c r="H47" s="26" t="str">
        <x:v>Independent evaluator</x:v>
      </x:c>
      <x:c r="I47" s="26" t="str">
        <x:v>Evidence reference</x:v>
      </x:c>
      <x:c r="J47" s="26" t="str">
        <x:v>12 eval/learning test files</x:v>
      </x:c>
      <x:c r="K47" s="26" t="str">
        <x:v>No full SYS-07/BMP-09 UI</x:v>
      </x:c>
      <x:c r="L47" s="26" t="str">
        <x:v>Legacy evaluation_system</x:v>
      </x:c>
      <x:c r="M47" s="26" t="str">
        <x:v>PARTIAL</x:v>
      </x:c>
      <x:c r="N47" s="26" t="n">
        <x:v>7</x:v>
      </x:c>
      <x:c r="O47" s="26" t="str">
        <x:v>Promotion and cross-domain evaluation semantics need closure.</x:v>
      </x:c>
    </x:row>
    <x:row r="48" ht="42" customHeight="1">
      <x:c r="A48" s="26" t="str">
        <x:v>CAP-044</x:v>
      </x:c>
      <x:c r="B48" s="26" t="str">
        <x:v>Shared</x:v>
      </x:c>
      <x:c r="C48" s="26" t="str">
        <x:v>Learning loop</x:v>
      </x:c>
      <x:c r="D48" s="26" t="str">
        <x:v>Shared Learning</x:v>
      </x:c>
      <x:c r="E48" s="26" t="str">
        <x:v>feedback/collector/loop/memory/operations/persistence</x:v>
      </x:c>
      <x:c r="F48" s="26" t="str">
        <x:v>feedback → proposal → review → inactive asset → promotion</x:v>
      </x:c>
      <x:c r="G48" s="26" t="str">
        <x:v>learning/rule registries</x:v>
      </x:c>
      <x:c r="H48" s="26" t="str">
        <x:v>Explicit approval/promotion</x:v>
      </x:c>
      <x:c r="I48" s="26" t="str">
        <x:v>Source evaluation refs</x:v>
      </x:c>
      <x:c r="J48" s="26" t="str">
        <x:v>Tests partial</x:v>
      </x:c>
      <x:c r="K48" s="26" t="str">
        <x:v>No product asset workflow</x:v>
      </x:c>
      <x:c r="L48" s="26" t="str">
        <x:v>Legacy AI learning paths</x:v>
      </x:c>
      <x:c r="M48" s="26" t="str">
        <x:v>PARTIAL</x:v>
      </x:c>
      <x:c r="N48" s="26" t="n">
        <x:v>7</x:v>
      </x:c>
      <x:c r="O48" s="26" t="str">
        <x:v>Continuous learning exists in code but promotion/rollback/observability UI is incomplete.</x:v>
      </x:c>
    </x:row>
    <x:row r="49" ht="42" customHeight="1">
      <x:c r="A49" s="26" t="str">
        <x:v>CAP-045</x:v>
      </x:c>
      <x:c r="B49" s="26" t="str">
        <x:v>Shared</x:v>
      </x:c>
      <x:c r="C49" s="26" t="str">
        <x:v>Knowledge / resource / case libraries</x:v>
      </x:c>
      <x:c r="D49" s="26" t="str">
        <x:v>Shared + domain owners</x:v>
      </x:c>
      <x:c r="E49" s="26" t="str">
        <x:v>resource_library, intelligence_library, case libraries/templates</x:v>
      </x:c>
      <x:c r="F49" s="26" t="str">
        <x:v>verified asset → search/read/use</x:v>
      </x:c>
      <x:c r="G49" s="26" t="str">
        <x:v>Asset/case stores</x:v>
      </x:c>
      <x:c r="H49" s="26" t="str">
        <x:v>Read/review</x:v>
      </x:c>
      <x:c r="I49" s="26" t="str">
        <x:v>Provenance/admission</x:v>
      </x:c>
      <x:c r="J49" s="26" t="str">
        <x:v>Tests partial</x:v>
      </x:c>
      <x:c r="K49" s="26" t="str">
        <x:v>Some APIs live</x:v>
      </x:c>
      <x:c r="L49" s="26" t="str">
        <x:v>Historical intelligence assets</x:v>
      </x:c>
      <x:c r="M49" s="26" t="str">
        <x:v>PARTIAL</x:v>
      </x:c>
      <x:c r="N49" s="26" t="n">
        <x:v>11</x:v>
      </x:c>
      <x:c r="O49" s="26" t="str">
        <x:v>Current vs historical authority and product entry points are not fully classified.</x:v>
      </x:c>
    </x:row>
    <x:row r="50" ht="42" customHeight="1">
      <x:c r="A50" s="26" t="str">
        <x:v>CAP-046</x:v>
      </x:c>
      <x:c r="B50" s="26" t="str">
        <x:v>Shared</x:v>
      </x:c>
      <x:c r="C50" s="26" t="str">
        <x:v>Notifications / task inbox</x:v>
      </x:c>
      <x:c r="D50" s="26" t="str">
        <x:v>SYSTEM TaskEngine + adapters</x:v>
      </x:c>
      <x:c r="E50" s="26" t="str">
        <x:v>alert engine, notifier, task queues</x:v>
      </x:c>
      <x:c r="F50" s="26" t="str">
        <x:v>event/task → notify/assign/snooze/resolve</x:v>
      </x:c>
      <x:c r="G50" s="26" t="str">
        <x:v>alerts/tasks</x:v>
      </x:c>
      <x:c r="H50" s="26" t="str">
        <x:v>Actor/action permission</x:v>
      </x:c>
      <x:c r="I50" s="26" t="str">
        <x:v>Origin/return trace</x:v>
      </x:c>
      <x:c r="J50" s="26" t="str">
        <x:v>Tests partial</x:v>
      </x:c>
      <x:c r="K50" s="26" t="str">
        <x:v>SH-06 no App</x:v>
      </x:c>
      <x:c r="L50" s="26" t="str">
        <x:v>WeChat/external notification paths</x:v>
      </x:c>
      <x:c r="M50" s="26" t="str">
        <x:v>EXISTS_BUT_UNSCOPED</x:v>
      </x:c>
      <x:c r="N50" s="26" t="n">
        <x:v>14</x:v>
      </x:c>
      <x:c r="O50" s="26" t="str">
        <x:v>Actor-scoped inbox and mobile notification/approval experience absent.</x:v>
      </x:c>
    </x:row>
    <x:row r="51" ht="42" customHeight="1">
      <x:c r="A51" s="26" t="str">
        <x:v>CAP-047</x:v>
      </x:c>
      <x:c r="B51" s="26" t="str">
        <x:v>CTH</x:v>
      </x:c>
      <x:c r="C51" s="26" t="str">
        <x:v>Monitoring / events / sentiment / trend</x:v>
      </x:c>
      <x:c r="D51" s="26" t="str">
        <x:v>CTH</x:v>
      </x:c>
      <x:c r="E51" s="26" t="str">
        <x:v>notes/events/trend/risk/calendar/negative modules and screen builders</x:v>
      </x:c>
      <x:c r="F51" s="26" t="str">
        <x:v>Subject sources → monitoring/analysis</x:v>
      </x:c>
      <x:c r="G51" s="26" t="str">
        <x:v>notes/events/metrics</x:v>
      </x:c>
      <x:c r="H51" s="26" t="str">
        <x:v>Subject READ</x:v>
      </x:c>
      <x:c r="I51" s="26" t="str">
        <x:v>Source evidence</x:v>
      </x:c>
      <x:c r="J51" s="26" t="str">
        <x:v>CTH tests</x:v>
      </x:c>
      <x:c r="K51" s="26" t="str">
        <x:v>Backend builders live; App absent for CTH-03..07</x:v>
      </x:c>
      <x:c r="L51" s="26" t="str">
        <x:v>Root compatibility callers</x:v>
      </x:c>
      <x:c r="M51" s="26" t="str">
        <x:v>PARTIAL</x:v>
      </x:c>
      <x:c r="N51" s="26" t="n">
        <x:v>10</x:v>
      </x:c>
      <x:c r="O51" s="26" t="str">
        <x:v>Real source lanes, freshness, event graph and per-screen E2E not closed.</x:v>
      </x:c>
    </x:row>
    <x:row r="52" ht="42" customHeight="1">
      <x:c r="A52" s="26" t="str">
        <x:v>CAP-048</x:v>
      </x:c>
      <x:c r="B52" s="26" t="str">
        <x:v>CTH</x:v>
      </x:c>
      <x:c r="C52" s="26" t="str">
        <x:v>Case → Insight → Decision → Action → Outcome</x:v>
      </x:c>
      <x:c r="D52" s="26" t="str">
        <x:v>CTH + Shared/SYSTEM effects</x:v>
      </x:c>
      <x:c r="E52" s="26" t="str">
        <x:v>case/PR/risk/review/action/effect modules</x:v>
      </x:c>
      <x:c r="F52" s="26" t="str">
        <x:v>evidence → case → decision → authorized action → outcome</x:v>
      </x:c>
      <x:c r="G52" s="26" t="str">
        <x:v>Case/event/action stores</x:v>
      </x:c>
      <x:c r="H52" s="26" t="str">
        <x:v>Human approval/effect fence</x:v>
      </x:c>
      <x:c r="I52" s="26" t="str">
        <x:v>Full lineage</x:v>
      </x:c>
      <x:c r="J52" s="26" t="str">
        <x:v>Tests partial</x:v>
      </x:c>
      <x:c r="K52" s="26" t="str">
        <x:v>No CTH-08..10 App</x:v>
      </x:c>
      <x:c r="L52" s="26" t="str">
        <x:v>Several case engines</x:v>
      </x:c>
      <x:c r="M52" s="26" t="str">
        <x:v>PARTIAL</x:v>
      </x:c>
      <x:c r="N52" s="26" t="n">
        <x:v>11</x:v>
      </x:c>
      <x:c r="O52" s="26" t="str">
        <x:v>Core commercial closed loop not proven end to end.</x:v>
      </x:c>
    </x:row>
    <x:row r="53" ht="42" customHeight="1">
      <x:c r="A53" s="26" t="str">
        <x:v>CAP-049</x:v>
      </x:c>
      <x:c r="B53" s="26" t="str">
        <x:v>CTH</x:v>
      </x:c>
      <x:c r="C53" s="26" t="str">
        <x:v>CTH reports / weekly brief</x:v>
      </x:c>
      <x:c r="D53" s="26" t="str">
        <x:v>CTH + Shared Reporting</x:v>
      </x:c>
      <x:c r="E53" s="26" t="str">
        <x:v>daily/weekly/report engine + evidence exporter</x:v>
      </x:c>
      <x:c r="F53" s="26" t="str">
        <x:v>Subject truth → scoped report</x:v>
      </x:c>
      <x:c r="G53" s="26" t="str">
        <x:v>Report store</x:v>
      </x:c>
      <x:c r="H53" s="26" t="str">
        <x:v>Export permission</x:v>
      </x:c>
      <x:c r="I53" s="26" t="str">
        <x:v>Sources/methodology</x:v>
      </x:c>
      <x:c r="J53" s="26" t="str">
        <x:v>Tests partial</x:v>
      </x:c>
      <x:c r="K53" s="26" t="str">
        <x:v>No CTH-10 App</x:v>
      </x:c>
      <x:c r="L53" s="26" t="str">
        <x:v>Report owners overlap</x:v>
      </x:c>
      <x:c r="M53" s="26" t="str">
        <x:v>PARTIAL</x:v>
      </x:c>
      <x:c r="N53" s="26" t="n">
        <x:v>11</x:v>
      </x:c>
      <x:c r="O53" s="26" t="str">
        <x:v>Artifact preview/export/retrieval and source trace incomplete.</x:v>
      </x:c>
    </x:row>
    <x:row r="54" ht="42" customHeight="1">
      <x:c r="A54" s="26" t="str">
        <x:v>CAP-050</x:v>
      </x:c>
      <x:c r="B54" s="26" t="str">
        <x:v>BMP</x:v>
      </x:c>
      <x:c r="C54" s="26" t="str">
        <x:v>Portfolio / competitors / market intelligence</x:v>
      </x:c>
      <x:c r="D54" s="26" t="str">
        <x:v>BMP</x:v>
      </x:c>
      <x:c r="E54" s="26" t="str">
        <x:v>brand directories/knowledge/market discovery and builders</x:v>
      </x:c>
      <x:c r="F54" s="26" t="str">
        <x:v>BrandFocus → portfolio/competitor/opportunity</x:v>
      </x:c>
      <x:c r="G54" s="26" t="str">
        <x:v>Brand/platform/canonical data</x:v>
      </x:c>
      <x:c r="H54" s="26" t="str">
        <x:v>Brand scope</x:v>
      </x:c>
      <x:c r="I54" s="26" t="str">
        <x:v>Source confidence</x:v>
      </x:c>
      <x:c r="J54" s="26" t="str">
        <x:v>BMP tests</x:v>
      </x:c>
      <x:c r="K54" s="26" t="str">
        <x:v>Backend builders live; App only BMP-01</x:v>
      </x:c>
      <x:c r="L54" s="26" t="str">
        <x:v>CTH brand tables vs BMP truth</x:v>
      </x:c>
      <x:c r="M54" s="26" t="str">
        <x:v>PARTIAL</x:v>
      </x:c>
      <x:c r="N54" s="26" t="n">
        <x:v>12</x:v>
      </x:c>
      <x:c r="O54" s="26" t="str">
        <x:v>Authorized focus, comparable metrics and market evidence not closed.</x:v>
      </x:c>
    </x:row>
    <x:row r="55" ht="42" customHeight="1">
      <x:c r="A55" s="26" t="str">
        <x:v>CAP-051</x:v>
      </x:c>
      <x:c r="B55" s="26" t="str">
        <x:v>BMP</x:v>
      </x:c>
      <x:c r="C55" s="26" t="str">
        <x:v>Propagation / campaign</x:v>
      </x:c>
      <x:c r="D55" s="26" t="str">
        <x:v>BMP</x:v>
      </x:c>
      <x:c r="E55" s="26" t="str">
        <x:v>brand_propagation + topic_campaign/snapshot</x:v>
      </x:c>
      <x:c r="F55" s="26" t="str">
        <x:v>content/channel → propagation/campaign result</x:v>
      </x:c>
      <x:c r="G55" s="26" t="str">
        <x:v>campaign/event/metric tables</x:v>
      </x:c>
      <x:c r="H55" s="26" t="str">
        <x:v>Brand/action permission</x:v>
      </x:c>
      <x:c r="I55" s="26" t="str">
        <x:v>Platform sources</x:v>
      </x:c>
      <x:c r="J55" s="26" t="str">
        <x:v>Tests partial</x:v>
      </x:c>
      <x:c r="K55" s="26" t="str">
        <x:v>No BMP-04/07 App</x:v>
      </x:c>
      <x:c r="L55" s="26" t="str">
        <x:v>Multiple campaign calculations</x:v>
      </x:c>
      <x:c r="M55" s="26" t="str">
        <x:v>PARTIAL</x:v>
      </x:c>
      <x:c r="N55" s="26" t="n">
        <x:v>12</x:v>
      </x:c>
      <x:c r="O55" s="26" t="str">
        <x:v>Metric definitions, windows, actual-vs-goal and outcome closure incomplete.</x:v>
      </x:c>
    </x:row>
    <x:row r="56" ht="42" customHeight="1">
      <x:c r="A56" s="26" t="str">
        <x:v>CAP-052</x:v>
      </x:c>
      <x:c r="B56" s="26" t="str">
        <x:v>BMP</x:v>
      </x:c>
      <x:c r="C56" s="26" t="str">
        <x:v>Creator ecosystem / KOS/KOL/KOC/UGC</x:v>
      </x:c>
      <x:c r="D56" s="26" t="str">
        <x:v>BMP</x:v>
      </x:c>
      <x:c r="E56" s="26" t="str">
        <x:v>kos engine/attribution/metrics/paid/routes</x:v>
      </x:c>
      <x:c r="F56" s="26" t="str">
        <x:v>account/content/interactions → identity/contribution/risk</x:v>
      </x:c>
      <x:c r="G56" s="26" t="str">
        <x:v>kos profiles/executions</x:v>
      </x:c>
      <x:c r="H56" s="26" t="str">
        <x:v>Attribution/manual correction</x:v>
      </x:c>
      <x:c r="I56" s="26" t="str">
        <x:v>Ownership evidence</x:v>
      </x:c>
      <x:c r="J56" s="26" t="str">
        <x:v>KOS tests</x:v>
      </x:c>
      <x:c r="K56" s="26" t="str">
        <x:v>No BMP-05 App</x:v>
      </x:c>
      <x:c r="L56" s="26" t="str">
        <x:v>Many KOS modules</x:v>
      </x:c>
      <x:c r="M56" s="26" t="str">
        <x:v>PARTIAL</x:v>
      </x:c>
      <x:c r="N56" s="26" t="n">
        <x:v>12</x:v>
      </x:c>
      <x:c r="O56" s="26" t="str">
        <x:v>Identity, authenticity, paid effects and dossier UX need convergence.</x:v>
      </x:c>
    </x:row>
    <x:row r="57" ht="42" customHeight="1">
      <x:c r="A57" s="26" t="str">
        <x:v>CAP-053</x:v>
      </x:c>
      <x:c r="B57" s="26" t="str">
        <x:v>BMP</x:v>
      </x:c>
      <x:c r="C57" s="26" t="str">
        <x:v>Content lifecycle</x:v>
      </x:c>
      <x:c r="D57" s="26" t="str">
        <x:v>BMP + Shared Creation</x:v>
      </x:c>
      <x:c r="E57" s="26" t="str">
        <x:v>content generation/center modules</x:v>
      </x:c>
      <x:c r="F57" s="26" t="str">
        <x:v>brief → asset → review → approved → delivered</x:v>
      </x:c>
      <x:c r="G57" s="26" t="str">
        <x:v>Content/artifact stores</x:v>
      </x:c>
      <x:c r="H57" s="26" t="str">
        <x:v>Rights/publish approval</x:v>
      </x:c>
      <x:c r="I57" s="26" t="str">
        <x:v>Version/provenance</x:v>
      </x:c>
      <x:c r="J57" s="26" t="str">
        <x:v>Tests partial</x:v>
      </x:c>
      <x:c r="K57" s="26" t="str">
        <x:v>No BMP-06 App</x:v>
      </x:c>
      <x:c r="L57" s="26" t="str">
        <x:v>Shared vs BMP creation</x:v>
      </x:c>
      <x:c r="M57" s="26" t="str">
        <x:v>PARTIAL</x:v>
      </x:c>
      <x:c r="N57" s="26" t="n">
        <x:v>13</x:v>
      </x:c>
      <x:c r="O57" s="26" t="str">
        <x:v>Product workflow and rights/effect boundary not surfaced.</x:v>
      </x:c>
    </x:row>
    <x:row r="58" ht="42" customHeight="1">
      <x:c r="A58" s="26" t="str">
        <x:v>CAP-054</x:v>
      </x:c>
      <x:c r="B58" s="26" t="str">
        <x:v>BMP</x:v>
      </x:c>
      <x:c r="C58" s="26" t="str">
        <x:v>Evaluation / risk / benchmark</x:v>
      </x:c>
      <x:c r="D58" s="26" t="str">
        <x:v>BMP + Shared Evaluation</x:v>
      </x:c>
      <x:c r="E58" s="26" t="str">
        <x:v>brand evaluation/risk/benchmark builders and functions</x:v>
      </x:c>
      <x:c r="F58" s="26" t="str">
        <x:v>campaign/outcome → aligned comparison/evaluation</x:v>
      </x:c>
      <x:c r="G58" s="26" t="str">
        <x:v>Metrics/evaluation/event stores</x:v>
      </x:c>
      <x:c r="H58" s="26" t="str">
        <x:v>Brand scope</x:v>
      </x:c>
      <x:c r="I58" s="26" t="str">
        <x:v>Confidence/evidence</x:v>
      </x:c>
      <x:c r="J58" s="26" t="str">
        <x:v>Tests partial</x:v>
      </x:c>
      <x:c r="K58" s="26" t="str">
        <x:v>No BMP-09..11 App</x:v>
      </x:c>
      <x:c r="L58" s="26" t="str">
        <x:v>Metric truth overlaps</x:v>
      </x:c>
      <x:c r="M58" s="26" t="str">
        <x:v>PARTIAL</x:v>
      </x:c>
      <x:c r="N58" s="26" t="n">
        <x:v>13</x:v>
      </x:c>
      <x:c r="O58" s="26" t="str">
        <x:v>Comparable baseline, confidence and evidence drilldown absent.</x:v>
      </x:c>
    </x:row>
    <x:row r="59" ht="42" customHeight="1">
      <x:c r="A59" s="26" t="str">
        <x:v>CAP-055</x:v>
      </x:c>
      <x:c r="B59" s="26" t="str">
        <x:v>Delivery</x:v>
      </x:c>
      <x:c r="C59" s="26" t="str">
        <x:v>Security / compliance</x:v>
      </x:c>
      <x:c r="D59" s="26" t="str">
        <x:v>SYSTEM Security</x:v>
      </x:c>
      <x:c r="E59" s="26" t="str">
        <x:v>security scanner/boundary/compliance/permission/effect</x:v>
      </x:c>
      <x:c r="F59" s="26" t="str">
        <x:v>artifact/change/action → gate</x:v>
      </x:c>
      <x:c r="G59" s="26" t="str">
        <x:v>Audit records</x:v>
      </x:c>
      <x:c r="H59" s="26" t="str">
        <x:v>Fail-close</x:v>
      </x:c>
      <x:c r="I59" s="26" t="str">
        <x:v>Gate evidence</x:v>
      </x:c>
      <x:c r="J59" s="26" t="str">
        <x:v>15 security/auth test files</x:v>
      </x:c>
      <x:c r="K59" s="26" t="str">
        <x:v>Release gate incomplete</x:v>
      </x:c>
      <x:c r="L59" s="26" t="str">
        <x:v>Multiple old security modules</x:v>
      </x:c>
      <x:c r="M59" s="26" t="str">
        <x:v>PARTIAL</x:v>
      </x:c>
      <x:c r="N59" s="26" t="n">
        <x:v>15</x:v>
      </x:c>
      <x:c r="O59" s="26" t="str">
        <x:v>Credential bootstrap, external packages and full release security acceptance remain.</x:v>
      </x:c>
    </x:row>
    <x:row r="60" ht="42" customHeight="1">
      <x:c r="A60" s="26" t="str">
        <x:v>CAP-056</x:v>
      </x:c>
      <x:c r="B60" s="26" t="str">
        <x:v>Delivery</x:v>
      </x:c>
      <x:c r="C60" s="26" t="str">
        <x:v>CI test tiers</x:v>
      </x:c>
      <x:c r="D60" s="26" t="str">
        <x:v>SYSTEM Release</x:v>
      </x:c>
      <x:c r="E60" s="26" t="str">
        <x:v>Tier A/B/C manifests and workflows</x:v>
      </x:c>
      <x:c r="F60" s="26" t="str">
        <x:v>commit → blocking hermetic/live gates</x:v>
      </x:c>
      <x:c r="G60" s="26" t="str">
        <x:v>—</x:v>
      </x:c>
      <x:c r="H60" s="26" t="str">
        <x:v>—</x:v>
      </x:c>
      <x:c r="I60" s="26" t="str">
        <x:v>Actions artifacts</x:v>
      </x:c>
      <x:c r="J60" s="26" t="str">
        <x:v>Local targeted tests pass</x:v>
      </x:c>
      <x:c r="K60" s="26" t="str">
        <x:v>Latest runs failed before steps; none for HEAD</x:v>
      </x:c>
      <x:c r="L60" s="26" t="str">
        <x:v>One quarantined node; 24 live entries</x:v>
      </x:c>
      <x:c r="M60" s="26" t="str">
        <x:v>BLOCKED</x:v>
      </x:c>
      <x:c r="N60" s="26" t="n">
        <x:v>15</x:v>
      </x:c>
      <x:c r="O60" s="26" t="str">
        <x:v>No green current-head CI or Tier C release evidence.</x:v>
      </x:c>
    </x:row>
    <x:row r="61" ht="42" customHeight="1">
      <x:c r="A61" s="26" t="str">
        <x:v>CAP-057</x:v>
      </x:c>
      <x:c r="B61" s="26" t="str">
        <x:v>Delivery</x:v>
      </x:c>
      <x:c r="C61" s="26" t="str">
        <x:v>Packaging / clean clone / rollback</x:v>
      </x:c>
      <x:c r="D61" s="26" t="str">
        <x:v>SYSTEM Release</x:v>
      </x:c>
      <x:c r="E61" s="26" t="str">
        <x:v>deployment/scripts/targets exist</x:v>
      </x:c>
      <x:c r="F61" s="26" t="str">
        <x:v>source → artifact → fresh install → rollback</x:v>
      </x:c>
      <x:c r="G61" s="26" t="str">
        <x:v>Migrated/seeded DB</x:v>
      </x:c>
      <x:c r="H61" s="26" t="str">
        <x:v>Release approval</x:v>
      </x:c>
      <x:c r="I61" s="26" t="str">
        <x:v>Release manifest</x:v>
      </x:c>
      <x:c r="J61" s="26" t="str">
        <x:v>No current full proof</x:v>
      </x:c>
      <x:c r="K61" s="26" t="str">
        <x:v>ABSENT evidence</x:v>
      </x:c>
      <x:c r="L61" s="26" t="str">
        <x:v>Multiple launch scripts</x:v>
      </x:c>
      <x:c r="M61" s="26" t="str">
        <x:v>ABSENT</x:v>
      </x:c>
      <x:c r="N61" s="26" t="n">
        <x:v>15</x:v>
      </x:c>
      <x:c r="O61" s="26" t="str">
        <x:v>Windows/macOS/Linux/Android/iOS build and clean-clone evidence missing.</x:v>
      </x:c>
    </x:row>
    <x:row r="62" ht="42" customHeight="1">
      <x:c r="A62" s="26" t="str">
        <x:v>CAP-058</x:v>
      </x:c>
      <x:c r="B62" s="26" t="str">
        <x:v>Delivery</x:v>
      </x:c>
      <x:c r="C62" s="26" t="str">
        <x:v>Compatibility caller convergence</x:v>
      </x:c>
      <x:c r="D62" s="26" t="str">
        <x:v>Per canonical owner</x:v>
      </x:c>
      <x:c r="E62" s="26" t="str">
        <x:v>191 root Python callers classified historically</x:v>
      </x:c>
      <x:c r="F62" s="26" t="str">
        <x:v>caller → owner adapter → retirement gate</x:v>
      </x:c>
      <x:c r="G62" s="26" t="str">
        <x:v>Mixed</x:v>
      </x:c>
      <x:c r="H62" s="26" t="str">
        <x:v>Mixed</x:v>
      </x:c>
      <x:c r="I62" s="26" t="str">
        <x:v>Mixed</x:v>
      </x:c>
      <x:c r="J62" s="26" t="str">
        <x:v>AST/validator inventories</x:v>
      </x:c>
      <x:c r="K62" s="26" t="str">
        <x:v>Active compatibility use</x:v>
      </x:c>
      <x:c r="L62" s="26" t="str">
        <x:v>No deletion approval</x:v>
      </x:c>
      <x:c r="M62" s="26" t="str">
        <x:v>PARTIAL</x:v>
      </x:c>
      <x:c r="N62" s="26" t="n">
        <x:v>2</x:v>
      </x:c>
      <x:c r="O62" s="26" t="str">
        <x:v>Current HEAD has 191 root callers; unique behavior must be preserved before removal.</x:v>
      </x:c>
    </x:row>
    <x:row r="63" ht="42" customHeight="1">
      <x:c r="A63" s="26" t="str">
        <x:v>CAP-059</x:v>
      </x:c>
      <x:c r="B63" s="26" t="str">
        <x:v>Delivery</x:v>
      </x:c>
      <x:c r="C63" s="26" t="str">
        <x:v>External business data dependencies</x:v>
      </x:c>
      <x:c r="D63" s="26" t="str">
        <x:v>CTH/BMP owners</x:v>
      </x:c>
      <x:c r="E63" s="26" t="str">
        <x:v>Explicit not-collected fields and blocked bindings</x:v>
      </x:c>
      <x:c r="F63" s="26" t="str">
        <x:v>POS/CRM/MDM/market source → canonical</x:v>
      </x:c>
      <x:c r="G63" s="26" t="str">
        <x:v>Absent/external</x:v>
      </x:c>
      <x:c r="H63" s="26" t="str">
        <x:v>Contract/vendor permission</x:v>
      </x:c>
      <x:c r="I63" s="26" t="str">
        <x:v>Source proof required</x:v>
      </x:c>
      <x:c r="J63" s="26" t="str">
        <x:v>None</x:v>
      </x:c>
      <x:c r="K63" s="26" t="str">
        <x:v>CTH footfall/sales and MDM blocked</x:v>
      </x:c>
      <x:c r="L63" s="26" t="str">
        <x:v>Must not synthesize</x:v>
      </x:c>
      <x:c r="M63" s="26" t="str">
        <x:v>BLOCKED</x:v>
      </x:c>
      <x:c r="N63" s="26" t="n">
        <x:v>9</x:v>
      </x:c>
      <x:c r="O63" s="26" t="str">
        <x:v>Several promised business outcomes cannot be real until approved external sources exist.</x:v>
      </x:c>
    </x:row>
    <x:row r="64" ht="42" customHeight="1">
      <x:c r="A64" s="26" t="str">
        <x:v>CAP-060</x:v>
      </x:c>
      <x:c r="B64" s="26" t="str">
        <x:v>Delivery</x:v>
      </x:c>
      <x:c r="C64" s="26" t="str">
        <x:v>Engineering AI tools</x:v>
      </x:c>
      <x:c r="D64" s="26" t="str">
        <x:v>Codex engineering layer</x:v>
      </x:c>
      <x:c r="E64" s="26" t="str">
        <x:v>Codex active; OpenCode configured; Ollama available</x:v>
      </x:c>
      <x:c r="F64" s="26" t="str">
        <x:v>Sol/Luna → bounded engineering tool</x:v>
      </x:c>
      <x:c r="G64" s="26" t="str">
        <x:v>No product truth</x:v>
      </x:c>
      <x:c r="H64" s="26" t="str">
        <x:v>No product authority</x:v>
      </x:c>
      <x:c r="I64" s="26" t="str">
        <x:v>Tool logs only</x:v>
      </x:c>
      <x:c r="J64" s="26" t="str">
        <x:v>Ollama review completed</x:v>
      </x:c>
      <x:c r="K64" s="26" t="str">
        <x:v>OpenCode auth failed</x:v>
      </x:c>
      <x:c r="L64" s="26" t="str">
        <x:v>Never user-facing model truth</x:v>
      </x:c>
      <x:c r="M64" s="26" t="str">
        <x:v>PARTIAL</x:v>
      </x:c>
      <x:c r="N64" s="26" t="n">
        <x:v>1</x:v>
      </x:c>
      <x:c r="O64" s="26" t="str">
        <x:v>OpenCode is currently unusable due to authentication failure; this is an engineering config issue, not product capability.</x:v>
      </x:c>
    </x:row>
  </x:sheetData>
  <x:mergeCells>
    <x:mergeCell ref="A1:O1"/>
    <x:mergeCell ref="A2:O2"/>
  </x:mergeCells>
  <x:conditionalFormatting sqref="M5:M64">
    <x:cfRule type="containsText" dxfId="7" priority="1" operator="containsText" text="ABSENT"/>
    <x:cfRule type="containsText" dxfId="8" priority="2" operator="containsText" text="PARTIAL"/>
    <x:cfRule type="containsText" dxfId="9" priority="3" operator="containsText" text="OPERATING"/>
  </x:conditionalFormatting>
  <x:pageMargins left="0.7" right="0.7" top="0.75" bottom="0.75" header="0.3" footer="0.3"/>
  <x:tableParts count="1">
    <x:tablePart xmlns:r="http://schemas.openxmlformats.org/officeDocument/2006/relationships" r:id="R0b416f1312cb414a"/>
  </x:tableParts>
</x:worksheet>
</file>

<file path=xl/worksheets/sheet4.xml><?xml version="1.0" encoding="utf-8"?>
<x:worksheet xmlns:x="http://schemas.openxmlformats.org/spreadsheetml/2006/main">
  <x:sheetPr>
    <x:tabColor rgb="FF7D5AC7"/>
  </x:sheetPr>
  <x:sheetViews>
    <x:sheetView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2" hidden="0" customWidth="1"/>
    <x:col min="3" max="3" width="44" hidden="0" customWidth="1"/>
    <x:col min="4" max="4" width="16" hidden="0" customWidth="1"/>
    <x:col min="5" max="5" width="16" hidden="0" customWidth="1"/>
    <x:col min="6" max="6" width="10" hidden="0" customWidth="1"/>
    <x:col min="7" max="7" width="28" hidden="0" customWidth="1"/>
    <x:col min="8" max="8" width="18" hidden="0" customWidth="1"/>
    <x:col min="9" max="9" width="42" hidden="0" customWidth="1"/>
    <x:col min="10" max="10" width="34" hidden="0" customWidth="1"/>
    <x:col min="11" max="11" width="52" hidden="0" customWidth="1"/>
    <x:col min="12" max="12" width="40" hidden="0" customWidth="1"/>
  </x:cols>
  <x:sheetData>
    <x:row r="1" ht="34" customHeight="1">
      <x:c r="A1" s="3" t="str">
        <x:v>十五轮 = 十五个顺序 Codex 任务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一任务只闭合一轮；Sol 验收后停止；用户确认后才创建下一任务。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22" t="str">
        <x:v>Round</x:v>
      </x:c>
      <x:c r="B4" s="22" t="str">
        <x:v>名称</x:v>
      </x:c>
      <x:c r="C4" s="22" t="str">
        <x:v>产品结果</x:v>
      </x:c>
      <x:c r="D4" s="22" t="str">
        <x:v>PDF 页</x:v>
      </x:c>
      <x:c r="E4" s="22" t="str">
        <x:v>Task IDs</x:v>
      </x:c>
      <x:c r="F4" s="22" t="str">
        <x:v>Task 数</x:v>
      </x:c>
      <x:c r="G4" s="22" t="str">
        <x:v>Owner</x:v>
      </x:c>
      <x:c r="H4" s="22" t="str">
        <x:v>前置</x:v>
      </x:c>
      <x:c r="I4" s="22" t="str">
        <x:v>主要 Luna Batch</x:v>
      </x:c>
      <x:c r="J4" s="22" t="str">
        <x:v>Validation</x:v>
      </x:c>
      <x:c r="K4" s="22" t="str">
        <x:v>退出门</x:v>
      </x:c>
      <x:c r="L4" s="22" t="str">
        <x:v>Stop Condition</x:v>
      </x:c>
    </x:row>
    <x:row r="5" ht="42" customHeight="1">
      <x:c r="A5" s="26" t="str">
        <x:v>ROUND 01</x:v>
      </x:c>
      <x:c r="B5" s="26" t="str">
        <x:v>Current Truth / PDF Full Coverage</x:v>
      </x:c>
      <x:c r="C5" s="26" t="str">
        <x:v>Freeze current remote/local/runtime/PDF truth and protect unknown work.</x:v>
      </x:c>
      <x:c r="D5" s="26" t="str">
        <x:v>11–14</x:v>
      </x:c>
      <x:c r="E5" s="26" t="str">
        <x:v>0–3</x:v>
      </x:c>
      <x:c r="F5" s="26" t="n">
        <x:v>4</x:v>
      </x:c>
      <x:c r="G5" s="26" t="str">
        <x:v>Sol controls; Luna only bounded Task Cards; canonical owners unchanged</x:v>
      </x:c>
      <x:c r="H5" s="26" t="str">
        <x:v>None</x:v>
      </x:c>
      <x:c r="I5" s="26" t="str">
        <x:v>SOL audit; no Luna implementation</x:v>
      </x:c>
      <x:c r="J5" s="26" t="str">
        <x:v>Static + targeted unit + integration + affected regression + runtime/E2E + governance gates</x:v>
      </x:c>
      <x:c r="K5" s="26" t="str">
        <x:v>Remote/local/PDF/source/runtime evidence agree; 235 pages and 225 tasks mapped; no source mutation.</x:v>
      </x:c>
      <x:c r="L5" s="26" t="str">
        <x:v>Audit drift or unknown writes stop classification.</x:v>
      </x:c>
    </x:row>
    <x:row r="6" ht="42" customHeight="1">
      <x:c r="A6" s="26" t="str">
        <x:v>ROUND 02</x:v>
      </x:c>
      <x:c r="B6" s="26" t="str">
        <x:v>Authority / Only-One / Compatibility</x:v>
      </x:c>
      <x:c r="C6" s="26" t="str">
        <x:v>One current product authority, four approved surfaces, named owner for every caller/capability.</x:v>
      </x:c>
      <x:c r="D6" s="26" t="str">
        <x:v>15–16, 30</x:v>
      </x:c>
      <x:c r="E6" s="26" t="str">
        <x:v>4–5, 19</x:v>
      </x:c>
      <x:c r="F6" s="26" t="n">
        <x:v>3</x:v>
      </x:c>
      <x:c r="G6" s="26" t="str">
        <x:v>Sol controls; Luna only bounded Task Cards; canonical owners unchanged</x:v>
      </x:c>
      <x:c r="H6" s="26" t="str">
        <x:v>R01 approved</x:v>
      </x:c>
      <x:c r="I6" s="26" t="str">
        <x:v>SOL decisions → bounded governance/caller batches</x:v>
      </x:c>
      <x:c r="J6" s="26" t="str">
        <x:v>Static + targeted unit + integration + affected regression + runtime/E2E + governance gates</x:v>
      </x:c>
      <x:c r="K6" s="26" t="str">
        <x:v>No App-only drift, duplicate authority or unowned compatibility deletion; Skill Store preserved as a named capability.</x:v>
      </x:c>
      <x:c r="L6" s="26" t="str">
        <x:v>Owner/behavior unknown → BLOCKED, no removal.</x:v>
      </x:c>
    </x:row>
    <x:row r="7" ht="42" customHeight="1">
      <x:c r="A7" s="26" t="str">
        <x:v>ROUND 03</x:v>
      </x:c>
      <x:c r="B7" s="26" t="str">
        <x:v>Database / Canonical Truth</x:v>
      </x:c>
      <x:c r="C7" s="26" t="str">
        <x:v>One DB path/repository/schema truth with isolated tests and protected production data.</x:v>
      </x:c>
      <x:c r="D7" s="26" t="str">
        <x:v>17</x:v>
      </x:c>
      <x:c r="E7" s="26" t="str">
        <x:v>6</x:v>
      </x:c>
      <x:c r="F7" s="26" t="n">
        <x:v>1</x:v>
      </x:c>
      <x:c r="G7" s="26" t="str">
        <x:v>Sol controls; Luna only bounded Task Cards; canonical owners unchanged</x:v>
      </x:c>
      <x:c r="H7" s="26" t="str">
        <x:v>R02</x:v>
      </x:c>
      <x:c r="I7" s="26" t="str">
        <x:v>DB repository; migration/schema; caller parity</x:v>
      </x:c>
      <x:c r="J7" s="26" t="str">
        <x:v>Static + targeted unit + integration + affected regression + runtime/E2E + governance gates</x:v>
      </x:c>
      <x:c r="K7" s="26" t="str">
        <x:v>Canonical paths/writers and rollback proof; no production DB mutation by tests.</x:v>
      </x:c>
      <x:c r="L7" s="26" t="str">
        <x:v>Live DB or migration ambiguity stops work.</x:v>
      </x:c>
    </x:row>
    <x:row r="8" ht="42" customHeight="1">
      <x:c r="A8" s="26" t="str">
        <x:v>ROUND 04</x:v>
      </x:c>
      <x:c r="B8" s="26" t="str">
        <x:v>Identity / Context / Permission / Evidence</x:v>
      </x:c>
      <x:c r="C8" s="26" t="str">
        <x:v>Trusted actor + Subject/BrandFocus + scoped reads/writes/effects + lineage.</x:v>
      </x:c>
      <x:c r="D8" s="26" t="str">
        <x:v>18–22</x:v>
      </x:c>
      <x:c r="E8" s="26" t="str">
        <x:v>7–11</x:v>
      </x:c>
      <x:c r="F8" s="26" t="n">
        <x:v>5</x:v>
      </x:c>
      <x:c r="G8" s="26" t="str">
        <x:v>Sol controls; Luna only bounded Task Cards; canonical owners unchanged</x:v>
      </x:c>
      <x:c r="H8" s="26" t="str">
        <x:v>R03</x:v>
      </x:c>
      <x:c r="I8" s="26" t="str">
        <x:v>Identity/context; Permission/effect; Evidence scope</x:v>
      </x:c>
      <x:c r="J8" s="26" t="str">
        <x:v>Static + targeted unit + integration + affected regression + runtime/E2E + governance gates</x:v>
      </x:c>
      <x:c r="K8" s="26" t="str">
        <x:v>Context never grants authorization; every decision/action traces to Evidence and Return.</x:v>
      </x:c>
      <x:c r="L8" s="26" t="str">
        <x:v>Unknown actor/target/owner → fail closed.</x:v>
      </x:c>
    </x:row>
    <x:row r="9" ht="42" customHeight="1">
      <x:c r="A9" s="26" t="str">
        <x:v>ROUND 05</x:v>
      </x:c>
      <x:c r="B9" s="26" t="str">
        <x:v>Runtime / Health / Recovery / Observability</x:v>
      </x:c>
      <x:c r="C9" s="26" t="str">
        <x:v>Honest startup, dependency health, worker/queue/DLQ, recovery and trace.</x:v>
      </x:c>
      <x:c r="D9" s="26" t="str">
        <x:v>27–28</x:v>
      </x:c>
      <x:c r="E9" s="26" t="str">
        <x:v>16–17</x:v>
      </x:c>
      <x:c r="F9" s="26" t="n">
        <x:v>2</x:v>
      </x:c>
      <x:c r="G9" s="26" t="str">
        <x:v>Sol controls; Luna only bounded Task Cards; canonical owners unchanged</x:v>
      </x:c>
      <x:c r="H9" s="26" t="str">
        <x:v>R03–04</x:v>
      </x:c>
      <x:c r="I9" s="26" t="str">
        <x:v>Startup/preflight; guardian/queue; recovery/observability</x:v>
      </x:c>
      <x:c r="J9" s="26" t="str">
        <x:v>Static + targeted unit + integration + affected regression + runtime/E2E + governance gates</x:v>
      </x:c>
      <x:c r="K9" s="26" t="str">
        <x:v>Failure→diagnosis→authorized recovery→Return passes with no source-tree runtime writes.</x:v>
      </x:c>
      <x:c r="L9" s="26" t="str">
        <x:v>Unsafe recovery or false healthy state stops.</x:v>
      </x:c>
    </x:row>
    <x:row r="10" ht="42" customHeight="1">
      <x:c r="A10" s="26" t="str">
        <x:v>ROUND 06</x:v>
      </x:c>
      <x:c r="B10" s="26" t="str">
        <x:v>Collector / Browser / Acquisition</x:v>
      </x:c>
      <x:c r="C10" s="26" t="str">
        <x:v>One authorized acquisition chain from source/session to Evidence and Canonical Data.</x:v>
      </x:c>
      <x:c r="D10" s="26" t="str">
        <x:v>25–26</x:v>
      </x:c>
      <x:c r="E10" s="26" t="str">
        <x:v>14–15</x:v>
      </x:c>
      <x:c r="F10" s="26" t="n">
        <x:v>2</x:v>
      </x:c>
      <x:c r="G10" s="26" t="str">
        <x:v>Sol controls; Luna only bounded Task Cards; canonical owners unchanged</x:v>
      </x:c>
      <x:c r="H10" s="26" t="str">
        <x:v>R03–05</x:v>
      </x:c>
      <x:c r="I10" s="26" t="str">
        <x:v>Collector owner; scheduler/guards; browser/session; live acquisition</x:v>
      </x:c>
      <x:c r="J10" s="26" t="str">
        <x:v>Static + targeted unit + integration + affected regression + runtime/E2E + governance gates</x:v>
      </x:c>
      <x:c r="K10" s="26" t="str">
        <x:v>Rate/session/provenance/recovery pass; no second collector/browser.</x:v>
      </x:c>
      <x:c r="L10" s="26" t="str">
        <x:v>Missing authorization/session or risk fence → BLOCKED.</x:v>
      </x:c>
    </x:row>
    <x:row r="11" ht="42" customHeight="1">
      <x:c r="A11" s="26" t="str">
        <x:v>ROUND 07</x:v>
      </x:c>
      <x:c r="B11" s="26" t="str">
        <x:v>AI / Agent / Skill Store / Shared Engines</x:v>
      </x:c>
      <x:c r="C11" s="26" t="str">
        <x:v>One Gateway and Agent runtime; restore full Skill Store; reporting/evaluation/learning remain derivative and governed.</x:v>
      </x:c>
      <x:c r="D11" s="26" t="str">
        <x:v>23–24</x:v>
      </x:c>
      <x:c r="E11" s="26" t="str">
        <x:v>12–13</x:v>
      </x:c>
      <x:c r="F11" s="26" t="n">
        <x:v>2</x:v>
      </x:c>
      <x:c r="G11" s="26" t="str">
        <x:v>Sol controls; Luna only bounded Task Cards; canonical owners unchanged</x:v>
      </x:c>
      <x:c r="H11" s="26" t="str">
        <x:v>R04–06</x:v>
      </x:c>
      <x:c r="I11" s="26" t="str">
        <x:v>Gateway/providers/Jev; Task/Agent; Skill Store convergence; reporting/eval/learning</x:v>
      </x:c>
      <x:c r="J11" s="26" t="str">
        <x:v>Static + targeted unit + integration + affected regression + runtime/E2E + governance gates</x:v>
      </x:c>
      <x:c r="K11" s="26" t="str">
        <x:v>Provider state honest; Skill lifecycle verified; Jev staged; AI never owns truth/effects.</x:v>
      </x:c>
      <x:c r="L11" s="26" t="str">
        <x:v>Contract/legal/security/owner unknown → no activation.</x:v>
      </x:c>
    </x:row>
    <x:row r="12" ht="42" customHeight="1">
      <x:c r="A12" s="26" t="str">
        <x:v>ROUND 08</x:v>
      </x:c>
      <x:c r="B12" s="26" t="str">
        <x:v>Cross-Surface Experience Foundation</x:v>
      </x:c>
      <x:c r="C12" s="26" t="str">
        <x:v>Public Website + Web Workspace + Desktop + Mobile roles over one Product Core.</x:v>
      </x:c>
      <x:c r="D12" s="26" t="str">
        <x:v>31–34</x:v>
      </x:c>
      <x:c r="E12" s="26" t="str">
        <x:v>20–23</x:v>
      </x:c>
      <x:c r="F12" s="26" t="n">
        <x:v>4</x:v>
      </x:c>
      <x:c r="G12" s="26" t="str">
        <x:v>Sol controls; Luna only bounded Task Cards; canonical owners unchanged</x:v>
      </x:c>
      <x:c r="H12" s="26" t="str">
        <x:v>R02–07</x:v>
      </x:c>
      <x:c r="I12" s="26" t="str">
        <x:v>Public foundation; Web shell; Desktop/Mobile shell; shared state/accessibility</x:v>
      </x:c>
      <x:c r="J12" s="26" t="str">
        <x:v>Static + targeted unit + integration + affected regression + runtime/E2E + governance gates</x:v>
      </x:c>
      <x:c r="K12" s="26" t="str">
        <x:v>Four distinct surfaces share contract/state/Permission/Evidence; local-only boundaries explicit; no template product.</x:v>
      </x:c>
      <x:c r="L12" s="26" t="str">
        <x:v>Second truth or generic screen renderer stops.</x:v>
      </x:c>
    </x:row>
    <x:row r="13" ht="42" customHeight="1">
      <x:c r="A13" s="26" t="str">
        <x:v>ROUND 09</x:v>
      </x:c>
      <x:c r="B13" s="26" t="str">
        <x:v>Golden Pages + CTH-02</x:v>
      </x:c>
      <x:c r="C13" s="26" t="str">
        <x:v>AI-01, CTH-01/02, BMP-01, SH-01, SYS-01 become real cross-surface workflows.</x:v>
      </x:c>
      <x:c r="D13" s="26" t="str">
        <x:v>35, 52–59, 92–95, 136–139, 156–159, 188–191</x:v>
      </x:c>
      <x:c r="E13" s="26" t="str">
        <x:v>24, 41–48, 81–84, 125–128, 145–148, 177–180</x:v>
      </x:c>
      <x:c r="F13" s="26" t="n">
        <x:v>25</x:v>
      </x:c>
      <x:c r="G13" s="26" t="str">
        <x:v>Sol controls; Luna only bounded Task Cards; canonical owners unchanged</x:v>
      </x:c>
      <x:c r="H13" s="26" t="str">
        <x:v>R04–08</x:v>
      </x:c>
      <x:c r="I13" s="26" t="str">
        <x:v>Six per-screen spec/backend/UI/E2E batches</x:v>
      </x:c>
      <x:c r="J13" s="26" t="str">
        <x:v>Static + targeted unit + integration + affected regression + runtime/E2E + governance gates</x:v>
      </x:c>
      <x:c r="K13" s="26" t="str">
        <x:v>Applicable Web/Desktop/Mobile flow returns real scoped data/result/Evidence; external gaps remain honest.</x:v>
      </x:c>
      <x:c r="L13" s="26" t="str">
        <x:v>Any screen missing current spec/owner/action gate remains open.</x:v>
      </x:c>
    </x:row>
    <x:row r="14" ht="42" customHeight="1">
      <x:c r="A14" s="26" t="str">
        <x:v>ROUND 10</x:v>
      </x:c>
      <x:c r="B14" s="26" t="str">
        <x:v>CTH Monitoring / Analysis</x:v>
      </x:c>
      <x:c r="C14" s="26" t="str">
        <x:v>CTH-03..07 source-backed live monitoring, event relations, calendar, feedback and trends.</x:v>
      </x:c>
      <x:c r="D14" s="26" t="str">
        <x:v>60–79</x:v>
      </x:c>
      <x:c r="E14" s="26" t="str">
        <x:v>49–68</x:v>
      </x:c>
      <x:c r="F14" s="26" t="n">
        <x:v>20</x:v>
      </x:c>
      <x:c r="G14" s="26" t="str">
        <x:v>Sol controls; Luna only bounded Task Cards; canonical owners unchanged</x:v>
      </x:c>
      <x:c r="H14" s="26" t="str">
        <x:v>R06, R08–09</x:v>
      </x:c>
      <x:c r="I14" s="26" t="str">
        <x:v>One screen/workflow slice at a time</x:v>
      </x:c>
      <x:c r="J14" s="26" t="str">
        <x:v>Static + targeted unit + integration + affected regression + runtime/E2E + governance gates</x:v>
      </x:c>
      <x:c r="K14" s="26" t="str">
        <x:v>Subject-scoped sources, freshness, Evidence Trace and responsive acceptance pass.</x:v>
      </x:c>
      <x:c r="L14" s="26" t="str">
        <x:v>No source or scope → NOT_COLLECTED/BLOCKED, not fake KPI.</x:v>
      </x:c>
    </x:row>
    <x:row r="15" ht="42" customHeight="1">
      <x:c r="A15" s="26" t="str">
        <x:v>ROUND 11</x:v>
      </x:c>
      <x:c r="B15" s="26" t="str">
        <x:v>CTH Case / Risk / Decision / Report</x:v>
      </x:c>
      <x:c r="C15" s="26" t="str">
        <x:v>CTH-08..10 close Case→Insight→Decision→Action→Outcome→Report.</x:v>
      </x:c>
      <x:c r="D15" s="26" t="str">
        <x:v>80–91</x:v>
      </x:c>
      <x:c r="E15" s="26" t="str">
        <x:v>69–80</x:v>
      </x:c>
      <x:c r="F15" s="26" t="n">
        <x:v>12</x:v>
      </x:c>
      <x:c r="G15" s="26" t="str">
        <x:v>Sol controls; Luna only bounded Task Cards; canonical owners unchanged</x:v>
      </x:c>
      <x:c r="H15" s="26" t="str">
        <x:v>R04, R07, R10</x:v>
      </x:c>
      <x:c r="I15" s="26" t="str">
        <x:v>Case library; decision/effect; report/export</x:v>
      </x:c>
      <x:c r="J15" s="26" t="str">
        <x:v>Static + targeted unit + integration + affected regression + runtime/E2E + governance gates</x:v>
      </x:c>
      <x:c r="K15" s="26" t="str">
        <x:v>Authorized action/outcome and report lineage are executable and auditable.</x:v>
      </x:c>
      <x:c r="L15" s="26" t="str">
        <x:v>Effect or outcome cannot be proved → no PASS.</x:v>
      </x:c>
    </x:row>
    <x:row r="16" ht="42" customHeight="1">
      <x:c r="A16" s="26" t="str">
        <x:v>ROUND 12</x:v>
      </x:c>
      <x:c r="B16" s="26" t="str">
        <x:v>BMP Portfolio / Market / Propagation / Creator</x:v>
      </x:c>
      <x:c r="C16" s="26" t="str">
        <x:v>BMP-02..05 close BrandFocus→market→propagation→creator evidence.</x:v>
      </x:c>
      <x:c r="D16" s="26" t="str">
        <x:v>96–111</x:v>
      </x:c>
      <x:c r="E16" s="26" t="str">
        <x:v>85–100</x:v>
      </x:c>
      <x:c r="F16" s="26" t="n">
        <x:v>16</x:v>
      </x:c>
      <x:c r="G16" s="26" t="str">
        <x:v>Sol controls; Luna only bounded Task Cards; canonical owners unchanged</x:v>
      </x:c>
      <x:c r="H16" s="26" t="str">
        <x:v>R04, R06–09</x:v>
      </x:c>
      <x:c r="I16" s="26" t="str">
        <x:v>Portfolio; market; propagation; creator</x:v>
      </x:c>
      <x:c r="J16" s="26" t="str">
        <x:v>Static + targeted unit + integration + affected regression + runtime/E2E + governance gates</x:v>
      </x:c>
      <x:c r="K16" s="26" t="str">
        <x:v>Brand scope, comparable definitions and creator ownership evidence pass.</x:v>
      </x:c>
      <x:c r="L16" s="26" t="str">
        <x:v>Cross-brand or ungrounded reach/identity stops.</x:v>
      </x:c>
    </x:row>
    <x:row r="17" ht="42" customHeight="1">
      <x:c r="A17" s="26" t="str">
        <x:v>ROUND 13</x:v>
      </x:c>
      <x:c r="B17" s="26" t="str">
        <x:v>BMP Content / Campaign / Podcast / Evaluation</x:v>
      </x:c>
      <x:c r="C17" s="26" t="str">
        <x:v>BMP-06..11 close asset/campaign/podcast/result/evaluation/risk/benchmark.</x:v>
      </x:c>
      <x:c r="D17" s="26" t="str">
        <x:v>112–135</x:v>
      </x:c>
      <x:c r="E17" s="26" t="str">
        <x:v>101–124</x:v>
      </x:c>
      <x:c r="F17" s="26" t="n">
        <x:v>24</x:v>
      </x:c>
      <x:c r="G17" s="26" t="str">
        <x:v>Sol controls; Luna only bounded Task Cards; canonical owners unchanged</x:v>
      </x:c>
      <x:c r="H17" s="26" t="str">
        <x:v>R07–08, R12</x:v>
      </x:c>
      <x:c r="I17" s="26" t="str">
        <x:v>Content; campaign; podcast; evaluation/risk/benchmark</x:v>
      </x:c>
      <x:c r="J17" s="26" t="str">
        <x:v>Static + targeted unit + integration + affected regression + runtime/E2E + governance gates</x:v>
      </x:c>
      <x:c r="K17" s="26" t="str">
        <x:v>Rights, approval, effect, actual result and aligned evaluation are traceable.</x:v>
      </x:c>
      <x:c r="L17" s="26" t="str">
        <x:v>Draft/fixture/goal cannot stand in for delivered result.</x:v>
      </x:c>
    </x:row>
    <x:row r="18" ht="42" customHeight="1">
      <x:c r="A18" s="26" t="str">
        <x:v>ROUND 14</x:v>
      </x:c>
      <x:c r="B18" s="26" t="str">
        <x:v>Remaining ACC / AI / Shared / SYSTEM</x:v>
      </x:c>
      <x:c r="C18" s="26" t="str">
        <x:v>Deliver ACC-01..04, AI-02..05, SH-02..06, SYS-02..08 with honest deferrals.</x:v>
      </x:c>
      <x:c r="D18" s="26" t="str">
        <x:v>36–51, 140–155, 160–187, 192–211</x:v>
      </x:c>
      <x:c r="E18" s="26" t="str">
        <x:v>25–40, 129–144, 149–176, 181–200</x:v>
      </x:c>
      <x:c r="F18" s="26" t="n">
        <x:v>80</x:v>
      </x:c>
      <x:c r="G18" s="26" t="str">
        <x:v>Sol controls; Luna only bounded Task Cards; canonical owners unchanged</x:v>
      </x:c>
      <x:c r="H18" s="26" t="str">
        <x:v>R04–08</x:v>
      </x:c>
      <x:c r="I18" s="26" t="str">
        <x:v>One screen spec/backend/UI/E2E slice at a time; AI-04 consumes R07 Skill Store</x:v>
      </x:c>
      <x:c r="J18" s="26" t="str">
        <x:v>Static + targeted unit + integration + affected regression + runtime/E2E + governance gates</x:v>
      </x:c>
      <x:c r="K18" s="26" t="str">
        <x:v>Each surface role and state is explicit; account timing honored; no hidden local capability in Web.</x:v>
      </x:c>
      <x:c r="L18" s="26" t="str">
        <x:v>Pre-beta account wall or unscoped global data stops.</x:v>
      </x:c>
    </x:row>
    <x:row r="19" ht="42" customHeight="1">
      <x:c r="A19" s="26" t="str">
        <x:v>ROUND 15</x:v>
      </x:c>
      <x:c r="B19" s="26" t="str">
        <x:v>Closed-loop Internal Beta / Clean Clone / Release</x:v>
      </x:c>
      <x:c r="C19" s="26" t="str">
        <x:v>Public→Web→real context/workflow/Evidence→Desktop execution→Web result→Mobile approval→Report/Evaluation/Learning.</x:v>
      </x:c>
      <x:c r="D19" s="26" t="str">
        <x:v>29, 212–235</x:v>
      </x:c>
      <x:c r="E19" s="26" t="str">
        <x:v>18, 201–224</x:v>
      </x:c>
      <x:c r="F19" s="26" t="n">
        <x:v>25</x:v>
      </x:c>
      <x:c r="G19" s="26" t="str">
        <x:v>Sol controls; Luna only bounded Task Cards; canonical owners unchanged</x:v>
      </x:c>
      <x:c r="H19" s="26" t="str">
        <x:v>R01–14</x:v>
      </x:c>
      <x:c r="I19" s="26" t="str">
        <x:v>Critical journeys; failure/recovery; security/a11y/perf; CI/Tier C; packages/clone/rollback</x:v>
      </x:c>
      <x:c r="J19" s="26" t="str">
        <x:v>Static + targeted unit + integration + affected regression + runtime/E2E + governance gates</x:v>
      </x:c>
      <x:c r="K19" s="26" t="str">
        <x:v>Current-SHA cross-surface real-data release evidence and final unresolved list accepted by Sol/PO.</x:v>
      </x:c>
      <x:c r="L19" s="26" t="str">
        <x:v>Any P0 blocker, false-green CI or missing rollback → NO-GO.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ffc109c2d4a48cc"/>
  </x:tableParts>
</x:worksheet>
</file>

<file path=xl/worksheets/sheet5.xml><?xml version="1.0" encoding="utf-8"?>
<x:worksheet xmlns:x="http://schemas.openxmlformats.org/spreadsheetml/2006/main">
  <x:sheetPr>
    <x:tabColor rgb="FF718096"/>
  </x:sheetPr>
  <x:sheetViews>
    <x:sheetView workbookViewId="0">
      <x:pane xSplit="5" ySplit="4" topLeftCell="F5" activePane="bottomRight" state="frozen"/>
    </x:sheetView>
  </x:sheetViews>
  <x:sheetFormatPr defaultRowHeight="15"/>
  <x:cols>
    <x:col min="1" max="1" width="9" hidden="0" customWidth="1"/>
    <x:col min="2" max="2" width="11" hidden="0" customWidth="1"/>
    <x:col min="3" max="3" width="12" hidden="0" customWidth="1"/>
    <x:col min="4" max="4" width="10" hidden="0" customWidth="1"/>
    <x:col min="5" max="5" width="36" hidden="0" customWidth="1"/>
    <x:col min="6" max="6" width="9" hidden="0" customWidth="1"/>
    <x:col min="7" max="7" width="22" hidden="0" customWidth="1"/>
    <x:col min="8" max="8" width="20" hidden="0" customWidth="1"/>
    <x:col min="9" max="9" width="18" hidden="0" customWidth="1"/>
    <x:col min="10" max="10" width="45" hidden="0" customWidth="1"/>
    <x:col min="11" max="11" width="42" hidden="0" customWidth="1"/>
    <x:col min="12" max="12" width="40" hidden="0" customWidth="1"/>
    <x:col min="13" max="13" width="40" hidden="0" customWidth="1"/>
    <x:col min="14" max="14" width="44" hidden="0" customWidth="1"/>
    <x:col min="15" max="15" width="44" hidden="0" customWidth="1"/>
  </x:cols>
  <x:sheetData>
    <x:row r="1" ht="34" customHeight="1">
      <x:c r="A1" s="3" t="str">
        <x:v>原 PDF 225 Task 全覆盖映射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7" t="str">
        <x:v>235 页 = 10 协议页 + 225 Task；SOL 54 / LUNA 171；所有 Task 映射到 15 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22" t="str">
        <x:v>PDF 页</x:v>
      </x:c>
      <x:c r="B4" s="22" t="str">
        <x:v>Taskbook 页</x:v>
      </x:c>
      <x:c r="C4" s="22" t="str">
        <x:v>Task ID</x:v>
      </x:c>
      <x:c r="D4" s="22" t="str">
        <x:v>原负责人</x:v>
      </x:c>
      <x:c r="E4" s="22" t="str">
        <x:v>任务标题</x:v>
      </x:c>
      <x:c r="F4" s="22" t="str">
        <x:v>Round</x:v>
      </x:c>
      <x:c r="G4" s="22" t="str">
        <x:v>分配原因</x:v>
      </x:c>
      <x:c r="H4" s="22" t="str">
        <x:v>当前源码状态</x:v>
      </x:c>
      <x:c r="I4" s="22" t="str">
        <x:v>任务类型</x:v>
      </x:c>
      <x:c r="J4" s="22" t="str">
        <x:v>目标</x:v>
      </x:c>
      <x:c r="K4" s="22" t="str">
        <x:v>输入/必读</x:v>
      </x:c>
      <x:c r="L4" s="22" t="str">
        <x:v>允许范围</x:v>
      </x:c>
      <x:c r="M4" s="22" t="str">
        <x:v>禁止事项</x:v>
      </x:c>
      <x:c r="N4" s="22" t="str">
        <x:v>完成条件</x:v>
      </x:c>
      <x:c r="O4" s="22" t="str">
        <x:v>验证命令/证据</x:v>
      </x:c>
    </x:row>
    <x:row r="5" ht="42" customHeight="1">
      <x:c r="A5" s="26" t="n">
        <x:v>11</x:v>
      </x:c>
      <x:c r="B5" s="26" t="n">
        <x:v>1</x:v>
      </x:c>
      <x:c r="C5" s="26" t="str">
        <x:v>SOL-000</x:v>
      </x:c>
      <x:c r="D5" s="26" t="str">
        <x:v>SOL</x:v>
      </x:c>
      <x:c r="E5" s="26" t="str">
        <x:v>接管规则 + 审计基线冻结</x:v>
      </x:c>
      <x:c r="F5" s="26" t="n">
        <x:v>1</x:v>
      </x:c>
      <x:c r="G5" s="26" t="str">
        <x:v>current truth / PDF mapping</x:v>
      </x:c>
      <x:c r="H5" s="26" t="str">
        <x:v>PARTIAL</x:v>
      </x:c>
      <x:c r="I5" s="26" t="str">
        <x:v>产品判断/验收</x:v>
      </x:c>
      <x:c r="J5" s="26" t="str">
        <x:v>把这份任务书作为 Sol 产品经理窗口的唯一执行索引；每次任务前重新 resolve origin/main，不把 PDF 中的 SHA 当未来代码真相。</x:v>
      </x:c>
      <x:c r="K5" s="26" t="str">
        <x:v>AGENTS.md；LUMENIS-SOURCE-OWNER-INDEX-CURRENT.md；Product Architecture；Experience Constitution；当前 origin/main。</x:v>
      </x:c>
      <x:c r="L5" s="26" t="str">
        <x:v>只做任务排序、范围确认、阻塞判断、验收；可以更新现有 canonical governance，但不得建立第二套架构/设计权威。</x:v>
      </x:c>
      <x:c r="M5" s="26" t="str">
        <x:v>禁止凭聊天记忆判断当前代码；禁止一次把多个 owner 合成“重做 App”；禁止把 BACKEND_GAP 当成新 API 清单。</x:v>
      </x:c>
      <x:c r="N5" s="26" t="str">
        <x:v>Sol 能对每个后续 Task 给出：GO / BLOCKED / SPLIT / REORDER，并要求 Luna 返回 commit + tests + blockers。</x:v>
      </x:c>
      <x:c r="O5" s="26" t="str">
        <x:v>git fetch origin &amp;&amp; git rev-parse origin/main；核对只有 main；每次 Luna 汇报后重新看 diff/CI。</x:v>
      </x:c>
    </x:row>
    <x:row r="6" ht="42" customHeight="1">
      <x:c r="A6" s="26" t="n">
        <x:v>12</x:v>
      </x:c>
      <x:c r="B6" s="26" t="n">
        <x:v>2</x:v>
      </x:c>
      <x:c r="C6" s="26" t="str">
        <x:v>SOL-001</x:v>
      </x:c>
      <x:c r="D6" s="26" t="str">
        <x:v>SOL</x:v>
      </x:c>
      <x:c r="E6" s="26" t="str">
        <x:v>确定 Internal Beta MVP 闭环</x:v>
      </x:c>
      <x:c r="F6" s="26" t="n">
        <x:v>1</x:v>
      </x:c>
      <x:c r="G6" s="26" t="str">
        <x:v>current truth / PDF mapping</x:v>
      </x:c>
      <x:c r="H6" s="26" t="str">
        <x:v>PARTIAL</x:v>
      </x:c>
      <x:c r="I6" s="26" t="str">
        <x:v>产品判断/验收</x:v>
      </x:c>
      <x:c r="J6" s="26" t="str">
        <x:v>从现有产品真实能力中确定第一版内测最小闭环，必须能从真实 Source/Evidence 走到用户结果与 Return，而不是“一个页面能打开”。</x:v>
      </x:c>
      <x:c r="K6" s="26" t="str">
        <x:v>44 screen blueprints；54 gap；当前 6 个 Flutter slice；CTH/BMP/AI/SH/SYSTEM canonical chains。</x:v>
      </x:c>
      <x:c r="L6" s="26" t="str">
        <x:v>定义 beta 必做 workflow、后置 workflow、验收用户旅程；不新增功能。</x:v>
      </x:c>
      <x:c r="M6" s="26" t="str">
        <x:v>不得把 Account wall 设为 beta 前置；不得用 mock/fixture 代替真实闭环；不得删现有能力来缩 MVP。</x:v>
      </x:c>
      <x:c r="N6" s="26" t="str">
        <x:v>输出 3-5 条 beta critical journeys，并给每条明确 entry → action → result → evidence → return/evaluation。</x:v>
      </x:c>
      <x:c r="O6" s="26" t="str">
        <x:v>用当前 source owner 与 gap 状态逐条证明旅程可实施；UNKNOWN 必须成为阻塞项。</x:v>
      </x:c>
    </x:row>
    <x:row r="7" ht="42" customHeight="1">
      <x:c r="A7" s="26" t="n">
        <x:v>13</x:v>
      </x:c>
      <x:c r="B7" s="26" t="n">
        <x:v>3</x:v>
      </x:c>
      <x:c r="C7" s="26" t="str">
        <x:v>SOL-002</x:v>
      </x:c>
      <x:c r="D7" s="26" t="str">
        <x:v>SOL</x:v>
      </x:c>
      <x:c r="E7" s="26" t="str">
        <x:v>建立 Batch 依赖图与上下文重置规则</x:v>
      </x:c>
      <x:c r="F7" s="26" t="n">
        <x:v>1</x:v>
      </x:c>
      <x:c r="G7" s="26" t="str">
        <x:v>current truth / PDF mapping</x:v>
      </x:c>
      <x:c r="H7" s="26" t="str">
        <x:v>PARTIAL</x:v>
      </x:c>
      <x:c r="I7" s="26" t="str">
        <x:v>产品判断/验收</x:v>
      </x:c>
      <x:c r="J7" s="26" t="str">
        <x:v>把全部任务按 Truth owner 和依赖关系排成可并行/不可并行 Batch；明确何时 Luna 继续同一窗口，何时必须新窗口。</x:v>
      </x:c>
      <x:c r="K7" s="26" t="str">
        <x:v>本 PDF 所有任务；Source Owner Index；当前 Git owner/caller/test map。</x:v>
      </x:c>
      <x:c r="L7" s="26" t="str">
        <x:v>按 DB/Permission/Evidence/Context/API/Flutter/Acceptance 依赖排序；同 owner 相邻任务可串行。</x:v>
      </x:c>
      <x:c r="M7" s="26" t="str">
        <x:v>禁止按“数据结构→API→业务→UI”机械套模板跨越多个 owner；禁止两个 Batch 同时改同一 canonical owner。</x:v>
      </x:c>
      <x:c r="N7" s="26" t="str">
        <x:v>每个 Batch 有入口 SHA、允许路径、禁止路径、验收点、退出条件；上下文超过一个 owner family 或出现漂移时新开 Luna chat。</x:v>
      </x:c>
      <x:c r="O7" s="26" t="str">
        <x:v>Sol 在每 Batch 开始前发完整 task card；结束后对 commit/diff/test 进行 GO/REWORK。</x:v>
      </x:c>
    </x:row>
    <x:row r="8" ht="42" customHeight="1">
      <x:c r="A8" s="26" t="n">
        <x:v>14</x:v>
      </x:c>
      <x:c r="B8" s="26" t="n">
        <x:v>4</x:v>
      </x:c>
      <x:c r="C8" s="26" t="str">
        <x:v>LUNA-003</x:v>
      </x:c>
      <x:c r="D8" s="26" t="str">
        <x:v>LUNA</x:v>
      </x:c>
      <x:c r="E8" s="26" t="str">
        <x:v>现场 Git / Branch / 工作树校验</x:v>
      </x:c>
      <x:c r="F8" s="26" t="n">
        <x:v>1</x:v>
      </x:c>
      <x:c r="G8" s="26" t="str">
        <x:v>current truth / PDF mapping</x:v>
      </x:c>
      <x:c r="H8" s="26" t="str">
        <x:v>PARTIAL</x:v>
      </x:c>
      <x:c r="I8" s="26" t="str">
        <x:v>源码执行/验证</x:v>
      </x:c>
      <x:c r="J8" s="26" t="str">
        <x:v>在本地执行机确认 main 与 origin/main 一致、无隐藏 side branch、保存未知未提交工作，并记录真实起始 SHA。</x:v>
      </x:c>
      <x:c r="K8" s="26" t="str">
        <x:v>Git CLI；当前仓库；AGENTS.md。</x:v>
      </x:c>
      <x:c r="L8" s="26" t="str">
        <x:v>只读检查 + 必要的安全 fetch；若有未知本地修改只报告/保护，不覆盖。</x:v>
      </x:c>
      <x:c r="M8" s="26" t="str">
        <x:v>禁止 force reset 未知工作；禁止 force-push；禁止创建长期分支；禁止以 cached refs 代替 live remote。</x:v>
      </x:c>
      <x:c r="N8" s="26" t="str">
        <x:v>返回 current HEAD、origin/main、remote heads、git status、是否 clean；任何差异精确列出。</x:v>
      </x:c>
      <x:c r="O8" s="26" t="str">
        <x:v>git fetch origin --prune &amp;&amp; git rev-parse HEAD &amp;&amp; git rev-parse origin/main &amp;&amp; git branch -a &amp;&amp; git ls-remote --heads origin &amp;&amp; git status --short</x:v>
      </x:c>
    </x:row>
    <x:row r="9" ht="42" customHeight="1">
      <x:c r="A9" s="26" t="n">
        <x:v>15</x:v>
      </x:c>
      <x:c r="B9" s="26" t="n">
        <x:v>5</x:v>
      </x:c>
      <x:c r="C9" s="26" t="str">
        <x:v>LUNA-004</x:v>
      </x:c>
      <x:c r="D9" s="26" t="str">
        <x:v>LUNA</x:v>
      </x:c>
      <x:c r="E9" s="26" t="str">
        <x:v>191 个根级 Python Caller 分类清单</x:v>
      </x:c>
      <x:c r="F9" s="26" t="n">
        <x:v>2</x:v>
      </x:c>
      <x:c r="G9" s="26" t="str">
        <x:v>authority / compatibility</x:v>
      </x:c>
      <x:c r="H9" s="26" t="str">
        <x:v>PARTIAL</x:v>
      </x:c>
      <x:c r="I9" s="26" t="str">
        <x:v>源码执行/验证</x:v>
      </x:c>
      <x:c r="J9" s="26" t="str">
        <x:v>逐个分类根目录 191 个 Python 文件为 canonical owner / active compatibility caller / migrate-ready / provenance-only / delete-ready，禁止凭文件名删。</x:v>
      </x:c>
      <x:c r="K9" s="26" t="str">
        <x:v>Source Owner Index；根目录 Python；直接 callers/tests；lumenis/ canonical owners。</x:v>
      </x:c>
      <x:c r="L9" s="26" t="str">
        <x:v>只读审计并生成/更新现有 owner index 或受控清单；按 DB/AI/Collector/Browser/Auth/Reporting/Domain 分组。</x:v>
      </x:c>
      <x:c r="M9" s="26" t="str">
        <x:v>禁止批量移动/删除；禁止“root=legacy”推断；禁止更改 protected SUBJECT semantics。</x:v>
      </x:c>
      <x:c r="N9" s="26" t="str">
        <x:v>每个根文件有 owner、unique behavior、direct caller、tests、迁移条件；没有证据则 keep/unknown。</x:v>
      </x:c>
      <x:c r="O9" s="26" t="str">
        <x:v>git ls-files '*.py' | awk -F/ 'NF==1{print}'；rg import/callers；按 owner 跑 targeted tests。</x:v>
      </x:c>
    </x:row>
    <x:row r="10" ht="42" customHeight="1">
      <x:c r="A10" s="26" t="n">
        <x:v>16</x:v>
      </x:c>
      <x:c r="B10" s="26" t="n">
        <x:v>6</x:v>
      </x:c>
      <x:c r="C10" s="26" t="str">
        <x:v>SOL-005</x:v>
      </x:c>
      <x:c r="D10" s="26" t="str">
        <x:v>SOL</x:v>
      </x:c>
      <x:c r="E10" s="26" t="str">
        <x:v>审核 Root Caller 收敛矩阵</x:v>
      </x:c>
      <x:c r="F10" s="26" t="n">
        <x:v>2</x:v>
      </x:c>
      <x:c r="G10" s="26" t="str">
        <x:v>authority / compatibility</x:v>
      </x:c>
      <x:c r="H10" s="26" t="str">
        <x:v>PARTIAL</x:v>
      </x:c>
      <x:c r="I10" s="26" t="str">
        <x:v>产品判断/验收</x:v>
      </x:c>
      <x:c r="J10" s="26" t="str">
        <x:v>审核 LUNA-004，决定每组 caller 的 keep / adapt / absorb / retire 次序；把 destructive cleanup 推迟到唯一行为完成迁移后。</x:v>
      </x:c>
      <x:c r="K10" s="26" t="str">
        <x:v>LUNA-004 输出；canonical owner/tests。</x:v>
      </x:c>
      <x:c r="L10" s="26" t="str">
        <x:v>只做 owner 决策与任务切分。</x:v>
      </x:c>
      <x:c r="M10" s="26" t="str">
        <x:v>禁止因为“命名旧”就同意删除；禁止合并不同 Truth owner。</x:v>
      </x:c>
      <x:c r="N10" s="26" t="str">
        <x:v>每组兼容层得到明确决策与后续 Luna task；UNKNOWN 不进入删除。</x:v>
      </x:c>
      <x:c r="O10" s="26" t="str">
        <x:v>抽查实际 callers/tests；必要时要求 Luna 补证。</x:v>
      </x:c>
    </x:row>
    <x:row r="11" ht="42" customHeight="1">
      <x:c r="A11" s="26" t="n">
        <x:v>17</x:v>
      </x:c>
      <x:c r="B11" s="26" t="n">
        <x:v>7</x:v>
      </x:c>
      <x:c r="C11" s="26" t="str">
        <x:v>LUNA-006</x:v>
      </x:c>
      <x:c r="D11" s="26" t="str">
        <x:v>LUNA</x:v>
      </x:c>
      <x:c r="E11" s="26" t="str">
        <x:v>Shared Database Authority 最终收敛</x:v>
      </x:c>
      <x:c r="F11" s="26" t="n">
        <x:v>3</x:v>
      </x:c>
      <x:c r="G11" s="26" t="str">
        <x:v>database truth</x:v>
      </x:c>
      <x:c r="H11" s="26" t="str">
        <x:v>TESTED</x:v>
      </x:c>
      <x:c r="I11" s="26" t="str">
        <x:v>源码执行/验证</x:v>
      </x:c>
      <x:c r="J11" s="26" t="str">
        <x:v>证明所有生产 DB 访问经过 lumenis/shared/database；兼容 database.py/db_paths.py/migrations wrappers 只保留必要 API，不再形成第二 owner。</x:v>
      </x:c>
      <x:c r="K11" s="26" t="str">
        <x:v>lumenis/shared/database/*；database.py；db_paths.py；database_migrations.py；repository_registry.py；相关 tests/migrations。</x:v>
      </x:c>
      <x:c r="L11" s="26" t="str">
        <x:v>只改 DB owner、兼容 wrapper、直接 callers/tests；保持 data/monitor.db 业务 truth 与受控 operational stores。</x:v>
      </x:c>
      <x:c r="M11" s="26" t="str">
        <x:v>禁止直接 sqlite3.connect；禁止改真实生产 DB；禁止无迁移合并 operational store；禁止 missing→0。</x:v>
      </x:c>
      <x:c r="N11" s="26" t="str">
        <x:v>tracked production source 直接 sqlite3.connect=0；path/migration/repository authority 唯一；wrapper 行为回归绿。</x:v>
      </x:c>
      <x:c r="O11" s="26" t="str">
        <x:v>rg -n 'sqlite3\.connect' --glob '*.py' . ; python -m pytest tests/test_database.py tests/test_db_isolation_contract.py tests/test_alembic_migration.py -q</x:v>
      </x:c>
    </x:row>
    <x:row r="12" ht="42" customHeight="1">
      <x:c r="A12" s="26" t="n">
        <x:v>18</x:v>
      </x:c>
      <x:c r="B12" s="26" t="n">
        <x:v>8</x:v>
      </x:c>
      <x:c r="C12" s="26" t="str">
        <x:v>LUNA-007</x:v>
      </x:c>
      <x:c r="D12" s="26" t="str">
        <x:v>LUNA</x:v>
      </x:c>
      <x:c r="E12" s="26" t="str">
        <x:v>Pre-beta 无产品账号墙 + Dual Auth 边界</x:v>
      </x:c>
      <x:c r="F12" s="26" t="n">
        <x:v>4</x:v>
      </x:c>
      <x:c r="G12" s="26" t="str">
        <x:v>identity / context / permission / evidence</x:v>
      </x:c>
      <x:c r="H12" s="26" t="str">
        <x:v>PARTIAL</x:v>
      </x:c>
      <x:c r="I12" s="26" t="str">
        <x:v>源码执行/验证</x:v>
      </x:c>
      <x:c r="J12" s="26" t="str">
        <x:v>让 App 在 internal beta 前不被 LUMENIS 产品账号墙阻塞，同时保留 Core Basic/account session 与服务端 Permission；媒体 Cookie 身份完全分离。</x:v>
      </x:c>
      <x:c r="K12" s="26" t="str">
        <x:v>launch_surface.dart；core client；account/*；lumenis/auth/*；ACC gap 001/002；AGENTS three-delivery red line。</x:v>
      </x:c>
      <x:c r="L12" s="26" t="str">
        <x:v>只修改身份入口/客户端 session glue/相关 API 与 tests。</x:v>
      </x:c>
      <x:c r="M12" s="26" t="str">
        <x:v>禁止删除 Permission；禁止把 Cookie/session 当 product account；禁止发明 SSO；禁止扩大匿名业务读。</x:v>
      </x:c>
      <x:c r="N12" s="26" t="str">
        <x:v>App 可进入 pre-beta shell；受保护操作仍真实 401/403/Permission；双通道状态文案准确。</x:v>
      </x:c>
      <x:c r="O12" s="26" t="str">
        <x:v>cd app &amp;&amp; flutter test test/features/launch/launch_surface_auth_test.dart test/core/lumenis_core_client_test.dart ; python -m pytest tests/test_auth_api.py tests/test_api_domain_contract.py -q</x:v>
      </x:c>
    </x:row>
    <x:row r="13" ht="42" customHeight="1">
      <x:c r="A13" s="26" t="n">
        <x:v>19</x:v>
      </x:c>
      <x:c r="B13" s="26" t="n">
        <x:v>9</x:v>
      </x:c>
      <x:c r="C13" s="26" t="str">
        <x:v>LUNA-008</x:v>
      </x:c>
      <x:c r="D13" s="26" t="str">
        <x:v>LUNA</x:v>
      </x:c>
      <x:c r="E13" s="26" t="str">
        <x:v>CTH Subject Context + per-Subject Read Permission</x:v>
      </x:c>
      <x:c r="F13" s="26" t="n">
        <x:v>4</x:v>
      </x:c>
      <x:c r="G13" s="26" t="str">
        <x:v>identity / context / permission / evidence</x:v>
      </x:c>
      <x:c r="H13" s="26" t="str">
        <x:v>PARTIAL</x:v>
      </x:c>
      <x:c r="I13" s="26" t="str">
        <x:v>源码执行/验证</x:v>
      </x:c>
      <x:c r="J13" s="26" t="str">
        <x:v>把 authenticated actor、CTH Subject context、逐 Subject 业务 read Permission 串成可信服务端决策，供所有 CTH screens 复用。</x:v>
      </x:c>
      <x:c r="K13" s="26" t="str">
        <x:v>subject_context.py；subject_registry.py；account/authorization.py；lumenis/system/security/*；CTH gap 005-017。</x:v>
      </x:c>
      <x:c r="L13" s="26" t="str">
        <x:v>只改现有 Subject/Permission owner 与最小 adapter/tests；保留 subject_hit() 语义。</x:v>
      </x:c>
      <x:c r="M13" s="26" t="str">
        <x:v>禁止把 registry membership 当业务授权；禁止客户端自行决定 authorized；禁止改 SUBJECT_WORDS/EXCLUDE/subject_hit。</x:v>
      </x:c>
      <x:c r="N13" s="26" t="str">
        <x:v>服务端能返回/执行 actor→Subject read decision；denied/unknown fail closed；所有 CTH screen 可复用同一 contract。</x:v>
      </x:c>
      <x:c r="O13" s="26" t="str">
        <x:v>python -m pytest tests/test_domain_context.py tests/test_domain_context_switching.py tests/test_api_domain_contract.py tests/test_ai_permission_matrix.py -q</x:v>
      </x:c>
    </x:row>
    <x:row r="14" ht="42" customHeight="1">
      <x:c r="A14" s="26" t="n">
        <x:v>20</x:v>
      </x:c>
      <x:c r="B14" s="26" t="n">
        <x:v>10</x:v>
      </x:c>
      <x:c r="C14" s="26" t="str">
        <x:v>LUNA-009</x:v>
      </x:c>
      <x:c r="D14" s="26" t="str">
        <x:v>LUNA</x:v>
      </x:c>
      <x:c r="E14" s="26" t="str">
        <x:v>BMP BrandFocus Context + Authorization</x:v>
      </x:c>
      <x:c r="F14" s="26" t="n">
        <x:v>4</x:v>
      </x:c>
      <x:c r="G14" s="26" t="str">
        <x:v>identity / context / permission / evidence</x:v>
      </x:c>
      <x:c r="H14" s="26" t="str">
        <x:v>PARTIAL</x:v>
      </x:c>
      <x:c r="I14" s="26" t="str">
        <x:v>源码执行/验证</x:v>
      </x:c>
      <x:c r="J14" s="26" t="str">
        <x:v>建立/收敛现有 BMP BrandFocus 的可信 actor scope 与 read authorization，替代产品级 ZBMP 聚合充当选中品牌。</x:v>
      </x:c>
      <x:c r="K14" s="26" t="str">
        <x:v>api_dual_domain.py；BMP contracts/gaps 018-028；Permission owner；canonical BMP rows。</x:v>
      </x:c>
      <x:c r="L14" s="26" t="str">
        <x:v>只改现有 BMP/context/permission adapter 与 tests。</x:v>
      </x:c>
      <x:c r="M14" s="26" t="str">
        <x:v>禁止把 CTH SubjectContext 代替 BrandFocus；禁止无 verified brand_key 推断品牌；禁止全局聚合伪装选中品牌。</x:v>
      </x:c>
      <x:c r="N14" s="26" t="str">
        <x:v>BrandFocus 由可信服务端 context 决定；授权/未授权/无 focus 分状态；BMP 查询能按 focus scope。</x:v>
      </x:c>
      <x:c r="O14" s="26" t="str">
        <x:v>python -m pytest tests/test_api_dual_domain.py tests/test_bmp_truth_isolation.py tests/test_dual_domain_e2e.py -q</x:v>
      </x:c>
    </x:row>
    <x:row r="15" ht="42" customHeight="1">
      <x:c r="A15" s="26" t="n">
        <x:v>21</x:v>
      </x:c>
      <x:c r="B15" s="26" t="n">
        <x:v>11</x:v>
      </x:c>
      <x:c r="C15" s="26" t="str">
        <x:v>LUNA-010</x:v>
      </x:c>
      <x:c r="D15" s="26" t="str">
        <x:v>LUNA</x:v>
      </x:c>
      <x:c r="E15" s="26" t="str">
        <x:v>Shared Evidence Actor/Domain/Object Scope</x:v>
      </x:c>
      <x:c r="F15" s="26" t="n">
        <x:v>4</x:v>
      </x:c>
      <x:c r="G15" s="26" t="str">
        <x:v>identity / context / permission / evidence</x:v>
      </x:c>
      <x:c r="H15" s="26" t="str">
        <x:v>PARTIAL</x:v>
      </x:c>
      <x:c r="I15" s="26" t="str">
        <x:v>源码执行/验证</x:v>
      </x:c>
      <x:c r="J15" s="26" t="str">
        <x:v>给 Shared Evidence 读路径补 actor + product/domain + object/origin scope，并保留 source identity/freshness/lineage。</x:v>
      </x:c>
      <x:c r="K15" s="26" t="str">
        <x:v>lumenis/shared/evidence/*；experience_runtime Evidence routes；CTH/BMP/AI/SH gaps。</x:v>
      </x:c>
      <x:c r="L15" s="26" t="str">
        <x:v>只改 Evidence owner、查询 adapter、contracts/tests。</x:v>
      </x:c>
      <x:c r="M15" s="26" t="str">
        <x:v>禁止 overwrite Evidence；禁止把 note ID 当 Evidence ID；禁止 global stats 直接给选中 Subject/Brand。</x:v>
      </x:c>
      <x:c r="N15" s="26" t="str">
        <x:v>可按 CTH Subject/BMP BrandFocus/AI execution/origin 查询；无 scope fail closed；原始 Evidence 不被 AI/human output 覆盖。</x:v>
      </x:c>
      <x:c r="O15" s="26" t="str">
        <x:v>python -m pytest tests/test_evidence_store.py tests/test_evidence_chain.py tests/test_evidence_dual_domain.py tests/test_evidence_replay_api.py -q</x:v>
      </x:c>
    </x:row>
    <x:row r="16" ht="42" customHeight="1">
      <x:c r="A16" s="26" t="n">
        <x:v>22</x:v>
      </x:c>
      <x:c r="B16" s="26" t="n">
        <x:v>12</x:v>
      </x:c>
      <x:c r="C16" s="26" t="str">
        <x:v>LUNA-011</x:v>
      </x:c>
      <x:c r="D16" s="26" t="str">
        <x:v>LUNA</x:v>
      </x:c>
      <x:c r="E16" s="26" t="str">
        <x:v>Reporting / Export Permission + Lineage</x:v>
      </x:c>
      <x:c r="F16" s="26" t="n">
        <x:v>4</x:v>
      </x:c>
      <x:c r="G16" s="26" t="str">
        <x:v>identity / context / permission / evidence</x:v>
      </x:c>
      <x:c r="H16" s="26" t="str">
        <x:v>PARTIAL</x:v>
      </x:c>
      <x:c r="I16" s="26" t="str">
        <x:v>源码执行/验证</x:v>
      </x:c>
      <x:c r="J16" s="26" t="str">
        <x:v>让 report/export 从同一 canonical truth + Evidence lineage 生成，并通过 Permission/approval/effect fence；失败不可假成功。</x:v>
      </x:c>
      <x:c r="K16" s="26" t="str">
        <x:v>lumenis/shared/reporting/*；CTH-10/BMP/SH-04 gaps；security effect fence。</x:v>
      </x:c>
      <x:c r="L16" s="26" t="str">
        <x:v>只改 reporting/export owner、Permission adapter、tests。</x:v>
      </x:c>
      <x:c r="M16" s="26" t="str">
        <x:v>禁止 dashboard screenshot 当报告；禁止未授权导出；禁止 report/Evidence 跨 scope。</x:v>
      </x:c>
      <x:c r="N16" s="26" t="str">
        <x:v>报告 preview/export 同源；scope/period/methodology/Evidence 可追；export audit 完整。</x:v>
      </x:c>
      <x:c r="O16" s="26" t="str">
        <x:v>python -m pytest tests/test_daily_report_redline.py tests/test_report_export* -q || true; python -m pytest tests/test_evidence_export.py -q</x:v>
      </x:c>
    </x:row>
    <x:row r="17" ht="42" customHeight="1">
      <x:c r="A17" s="26" t="n">
        <x:v>23</x:v>
      </x:c>
      <x:c r="B17" s="26" t="n">
        <x:v>13</x:v>
      </x:c>
      <x:c r="C17" s="26" t="str">
        <x:v>LUNA-012</x:v>
      </x:c>
      <x:c r="D17" s="26" t="str">
        <x:v>LUNA</x:v>
      </x:c>
      <x:c r="E17" s="26" t="str">
        <x:v>AI Gateway 单一 Runtime Owner</x:v>
      </x:c>
      <x:c r="F17" s="26" t="n">
        <x:v>7</x:v>
      </x:c>
      <x:c r="G17" s="26" t="str">
        <x:v>AI / agents / shared engines</x:v>
      </x:c>
      <x:c r="H17" s="26" t="str">
        <x:v>PARTIAL</x:v>
      </x:c>
      <x:c r="I17" s="26" t="str">
        <x:v>源码执行/验证</x:v>
      </x:c>
      <x:c r="J17" s="26" t="str">
        <x:v>确认所有产品 AI caller 收敛到 lumenis/system/ai_gateway，local_ai_client.py 只保留兼容 adapter 或吸收后 retire；Ollama provider live state 真实可见。</x:v>
      </x:c>
      <x:c r="K17" s="26" t="str">
        <x:v>lumenis/system/ai_gateway/*；local_ai_client.py；ai_api.py；ai_task_engine.py；content_generation.py；AI gaps。</x:v>
      </x:c>
      <x:c r="L17" s="26" t="str">
        <x:v>只改 AI Gateway 与 direct callers/tests；保持 rules/data 非 AI truth。</x:v>
      </x:c>
      <x:c r="M17" s="26" t="str">
        <x:v>禁止第二 AI owner；禁止 configured=healthy；禁止为了 UI 删除 fallback；禁止把 OpenCode/Codex 变产品 runtime。</x:v>
      </x:c>
      <x:c r="N17" s="26" t="str">
        <x:v>单一 provider/fallback status contract；真实 probe 区分 configured/ready/degraded/offline；兼容 caller 有清晰去向。</x:v>
      </x:c>
      <x:c r="O17" s="26" t="str">
        <x:v>python -m pytest tests/test_ai_gateway.py tests/test_ai_channel.py tests/test_ai_provider_failover.py tests/test_ai_degrade.py -q</x:v>
      </x:c>
    </x:row>
    <x:row r="18" ht="42" customHeight="1">
      <x:c r="A18" s="26" t="n">
        <x:v>24</x:v>
      </x:c>
      <x:c r="B18" s="26" t="n">
        <x:v>14</x:v>
      </x:c>
      <x:c r="C18" s="26" t="str">
        <x:v>LUNA-013</x:v>
      </x:c>
      <x:c r="D18" s="26" t="str">
        <x:v>LUNA</x:v>
      </x:c>
      <x:c r="E18" s="26" t="str">
        <x:v>AI Task / Execution Route 单一化</x:v>
      </x:c>
      <x:c r="F18" s="26" t="n">
        <x:v>7</x:v>
      </x:c>
      <x:c r="G18" s="26" t="str">
        <x:v>AI / agents / shared engines</x:v>
      </x:c>
      <x:c r="H18" s="26" t="str">
        <x:v>PARTIAL</x:v>
      </x:c>
      <x:c r="I18" s="26" t="str">
        <x:v>源码执行/验证</x:v>
      </x:c>
      <x:c r="J18" s="26" t="str">
        <x:v>收敛 ai_api.py / ai_task_engine / shared agents skills 的 task/execution route，消除重复声明/平行执行语义。</x:v>
      </x:c>
      <x:c r="K18" s="26" t="str">
        <x:v>ai_api.py；ai_task_engine.py；lumenis/shared/agents/skills/execution.py；TaskEngine tests；AI-02 gaps。</x:v>
      </x:c>
      <x:c r="L18" s="26" t="str">
        <x:v>只改 execution adapters/routes/tests；保留 Permission/Evidence。</x:v>
      </x:c>
      <x:c r="M18" s="26" t="str">
        <x:v>禁止新 TaskEngine；禁止无授权 write；禁止把 execution history 当 conversation thread。</x:v>
      </x:c>
      <x:c r="N18" s="26" t="str">
        <x:v>一个 canonical execution path；create/run/cancel/evidence/approval 语义一致；重复 route 消失或明确 compatibility。</x:v>
      </x:c>
      <x:c r="O18" s="26" t="str">
        <x:v>python -m pytest tests/test_ai_task_engine.py tests/test_ai_intelligence_boundary.py tests/test_ai_intent_permission.py -q</x:v>
      </x:c>
    </x:row>
    <x:row r="19" ht="42" customHeight="1">
      <x:c r="A19" s="26" t="n">
        <x:v>25</x:v>
      </x:c>
      <x:c r="B19" s="26" t="n">
        <x:v>15</x:v>
      </x:c>
      <x:c r="C19" s="26" t="str">
        <x:v>LUNA-014</x:v>
      </x:c>
      <x:c r="D19" s="26" t="str">
        <x:v>LUNA</x:v>
      </x:c>
      <x:c r="E19" s="26" t="str">
        <x:v>SYSTEM Collector 单一 Runtime 收敛</x:v>
      </x:c>
      <x:c r="F19" s="26" t="n">
        <x:v>6</x:v>
      </x:c>
      <x:c r="G19" s="26" t="str">
        <x:v>collector / browser / acquisition</x:v>
      </x:c>
      <x:c r="H19" s="26" t="str">
        <x:v>PARTIAL</x:v>
      </x:c>
      <x:c r="I19" s="26" t="str">
        <x:v>源码执行/验证</x:v>
      </x:c>
      <x:c r="J19" s="26" t="str">
        <x:v>把 root collector/automation callers 绑定到 lumenis/system/collector；各平台 adapter 统一 Source→Evidence→Canonical，保留 Cookie/session 策略。</x:v>
      </x:c>
      <x:c r="K19" s="26" t="str">
        <x:v>lumenis/system/collector/*；collector.py；collector_automation.py；platform adapters；tests。</x:v>
      </x:c>
      <x:c r="L19" s="26" t="str">
        <x:v>只改 collector owner/callers/tests；逐平台保留 unique behavior。</x:v>
      </x:c>
      <x:c r="M19" s="26" t="str">
        <x:v>禁止第二 collector；禁止为了“干净”删平台能力；禁止 Browser result 直写 parallel truth；禁止绕过 Evidence。</x:v>
      </x:c>
      <x:c r="N19" s="26" t="str">
        <x:v>collector registry/runtime/scheduler/guard 的 owner 唯一；root caller 仅 compatibility；关键平台回归绿。</x:v>
      </x:c>
      <x:c r="O19" s="26" t="str">
        <x:v>python -m pytest tests/test_collect_pipeline.py tests/test_collector_e2e_sim.py tests/test_collector_guard_integration.py tests/test_collector_multi_platform.py -q</x:v>
      </x:c>
    </x:row>
    <x:row r="20" ht="42" customHeight="1">
      <x:c r="A20" s="26" t="n">
        <x:v>26</x:v>
      </x:c>
      <x:c r="B20" s="26" t="n">
        <x:v>16</x:v>
      </x:c>
      <x:c r="C20" s="26" t="str">
        <x:v>LUNA-015</x:v>
      </x:c>
      <x:c r="D20" s="26" t="str">
        <x:v>LUNA</x:v>
      </x:c>
      <x:c r="E20" s="26" t="str">
        <x:v>Browser/CDP + Media Cookie Session 收敛</x:v>
      </x:c>
      <x:c r="F20" s="26" t="n">
        <x:v>6</x:v>
      </x:c>
      <x:c r="G20" s="26" t="str">
        <x:v>collector / browser / acquisition</x:v>
      </x:c>
      <x:c r="H20" s="26" t="str">
        <x:v>PARTIAL</x:v>
      </x:c>
      <x:c r="I20" s="26" t="str">
        <x:v>源码执行/验证</x:v>
      </x:c>
      <x:c r="J20" s="26" t="str">
        <x:v>统一 Browser Surface / browser runtime / XHS Cookie bridge 调用边界，保持 9223 HK collector 与 9224 general browser 的真实用途和 provenance。</x:v>
      </x:c>
      <x:c r="K20" s="26" t="str">
        <x:v>lumenis/system/browser/runtime/*；browser_surface.py；xhs_cookie_bridge.py；xhs_cdp_collector.py；browser tests。</x:v>
      </x:c>
      <x:c r="L20" s="26" t="str">
        <x:v>只改 browser owner/callers/tests；不接触真实 secret 内容。</x:v>
      </x:c>
      <x:c r="M20" s="26" t="str">
        <x:v>禁止提交 cookies/session；禁止把 general browse 当 collector auth；禁止把 media login 变 LUMENIS login。</x:v>
      </x:c>
      <x:c r="N20" s="26" t="str">
        <x:v>浏览/采集 session purpose 可辨；policy/allowed target/provenance 生效；无 secret 泄漏。</x:v>
      </x:c>
      <x:c r="O20" s="26" t="str">
        <x:v>python -m pytest tests/test_browser_surface.py tests/test_browser_security.py tests/test_cookie_vault_runtime_path.py tests/browser_runtime -q</x:v>
      </x:c>
    </x:row>
    <x:row r="21" ht="42" customHeight="1">
      <x:c r="A21" s="26" t="n">
        <x:v>27</x:v>
      </x:c>
      <x:c r="B21" s="26" t="n">
        <x:v>17</x:v>
      </x:c>
      <x:c r="C21" s="26" t="str">
        <x:v>LUNA-016</x:v>
      </x:c>
      <x:c r="D21" s="26" t="str">
        <x:v>LUNA</x:v>
      </x:c>
      <x:c r="E21" s="26" t="str">
        <x:v>RuntimeGuardian / Recovery Owner 收敛</x:v>
      </x:c>
      <x:c r="F21" s="26" t="n">
        <x:v>5</x:v>
      </x:c>
      <x:c r="G21" s="26" t="str">
        <x:v>runtime / startup / recovery</x:v>
      </x:c>
      <x:c r="H21" s="26" t="str">
        <x:v>PARTIAL</x:v>
      </x:c>
      <x:c r="I21" s="26" t="str">
        <x:v>源码执行/验证</x:v>
      </x:c>
      <x:c r="J21" s="26" t="str">
        <x:v>RuntimeGuardian、supervisor、recovery 仅表达 SYSTEM runtime truth；DB access 走 repository，状态不与业务健康混淆。</x:v>
      </x:c>
      <x:c r="K21" s="26" t="str">
        <x:v>runtime_guardian.py；run_supervised.py；auto_recovery.py；system health tests。</x:v>
      </x:c>
      <x:c r="L21" s="26" t="str">
        <x:v>只改 runtime/recovery owner 与 direct tests。</x:v>
      </x:c>
      <x:c r="M21" s="26" t="str">
        <x:v>禁止 health failure 变 business success；禁止 worker default 0 掩盖 unavailable；禁止多个 supervisor owner。</x:v>
      </x:c>
      <x:c r="N21" s="26" t="str">
        <x:v>健康、degraded、offline、unknown、recovery 明确；单 supervisor 逻辑可重复启动。</x:v>
      </x:c>
      <x:c r="O21" s="26" t="str">
        <x:v>python -m pytest tests/test_auto_recovery.py tests/test_dual_run_stability.py tests/test_experience_runtime.py -q -k "sys01 or runtime"</x:v>
      </x:c>
    </x:row>
    <x:row r="22" ht="42" customHeight="1">
      <x:c r="A22" s="26" t="n">
        <x:v>28</x:v>
      </x:c>
      <x:c r="B22" s="26" t="n">
        <x:v>18</x:v>
      </x:c>
      <x:c r="C22" s="26" t="str">
        <x:v>LUNA-017</x:v>
      </x:c>
      <x:c r="D22" s="26" t="str">
        <x:v>LUNA</x:v>
      </x:c>
      <x:c r="E22" s="26" t="str">
        <x:v>启动链与本地 Production Preflight</x:v>
      </x:c>
      <x:c r="F22" s="26" t="n">
        <x:v>5</x:v>
      </x:c>
      <x:c r="G22" s="26" t="str">
        <x:v>runtime / startup / recovery</x:v>
      </x:c>
      <x:c r="H22" s="26" t="str">
        <x:v>PARTIAL</x:v>
      </x:c>
      <x:c r="I22" s="26" t="str">
        <x:v>源码执行/验证</x:v>
      </x:c>
      <x:c r="J22" s="26" t="str">
        <x:v>验证 canonical Windows launcher 从依赖→supervisor→8201 health→9223/9224 browser 初始化到关键 API，失败能定位。</x:v>
      </x:c>
      <x:c r="K22" s="26" t="str">
        <x:v>scripts/start_production.ps1；_prod_dep_check.py；run_supervised.py；healthz；runtime_preflight。</x:v>
      </x:c>
      <x:c r="L22" s="26" t="str">
        <x:v>仅启动/检测/日志与相关 tests；不得修改真实业务数据。</x:v>
      </x:c>
      <x:c r="M22" s="26" t="str">
        <x:v>禁止把外部平台登录健康当 core health；禁止固定开发机 repo 路径；禁止静默吞异常。</x:v>
      </x:c>
      <x:c r="N22" s="26" t="str">
        <x:v>重复启动幂等；8201 唯一 supervisor；healthz 与关键 API 可用；browser health 分开报告。</x:v>
      </x:c>
      <x:c r="O22" s="26" t="str">
        <x:v>powershell -ExecutionPolicy Bypass -File scripts\start_production.ps1 ; curl http://127.0.0.1:8201/healthz</x:v>
      </x:c>
    </x:row>
    <x:row r="23" ht="42" customHeight="1">
      <x:c r="A23" s="26" t="n">
        <x:v>29</x:v>
      </x:c>
      <x:c r="B23" s="26" t="n">
        <x:v>19</x:v>
      </x:c>
      <x:c r="C23" s="26" t="str">
        <x:v>LUNA-018</x:v>
      </x:c>
      <x:c r="D23" s="26" t="str">
        <x:v>LUNA</x:v>
      </x:c>
      <x:c r="E23" s="26" t="str">
        <x:v>Product Gate / App Gate 可重复绿化</x:v>
      </x:c>
      <x:c r="F23" s="26" t="n">
        <x:v>15</x:v>
      </x:c>
      <x:c r="G23" s="26" t="str">
        <x:v>internal beta / clean clone / release</x:v>
      </x:c>
      <x:c r="H23" s="26" t="str">
        <x:v>PARTIAL</x:v>
      </x:c>
      <x:c r="I23" s="26" t="str">
        <x:v>源码执行/验证</x:v>
      </x:c>
      <x:c r="J23" s="26" t="str">
        <x:v>让当前 main 在手动/PR Gate 上真实执行并绿；红色不得靠 continue-on-error、跳测试或改成 advisory 消失。</x:v>
      </x:c>
      <x:c r="K23" s="26" t="str">
        <x:v>.github/workflows/platform-verify.yml；app-verify.yml；tests/CI_TEST_TIERS.md；当前 failing logs。</x:v>
      </x:c>
      <x:c r="L23" s="26" t="str">
        <x:v>只修真实 gate failure、fixture、dependency、scope；保持 blocking semantics。</x:v>
      </x:c>
      <x:c r="M23" s="26" t="str">
        <x:v>禁止把 blocking 改 advisory；禁止 quarantine 大模块；禁止把环境失败冒充 product PASS。</x:v>
      </x:c>
      <x:c r="N23" s="26" t="str">
        <x:v>Tier A/B clean checkout green；App analyze/test green；latest run 对 current SHA 有证据。</x:v>
      </x:c>
      <x:c r="O23" s="26" t="str">
        <x:v>python scripts/audit_tools/verify_lumenis_single_product.py ; python scripts/audit_tools/verify_experience_authority_exclusive.py ; python scripts/audit_tools/verify_experience_anti_template.py --stri ct ; python scripts/audit_tools/verify_experience_screen_blueprints.py ; python tests/select_ci_tests.py</x:v>
      </x:c>
    </x:row>
    <x:row r="24" ht="42" customHeight="1">
      <x:c r="A24" s="26" t="n">
        <x:v>30</x:v>
      </x:c>
      <x:c r="B24" s="26" t="n">
        <x:v>20</x:v>
      </x:c>
      <x:c r="C24" s="26" t="str">
        <x:v>LUNA-019</x:v>
      </x:c>
      <x:c r="D24" s="26" t="str">
        <x:v>LUNA</x:v>
      </x:c>
      <x:c r="E24" s="26" t="str">
        <x:v>Legacy 名称 / 兼容标识逐项清理</x:v>
      </x:c>
      <x:c r="F24" s="26" t="n">
        <x:v>2</x:v>
      </x:c>
      <x:c r="G24" s="26" t="str">
        <x:v>authority / compatibility</x:v>
      </x:c>
      <x:c r="H24" s="26" t="str">
        <x:v>PARTIAL</x:v>
      </x:c>
      <x:c r="I24" s="26" t="str">
        <x:v>源码执行/验证</x:v>
      </x:c>
      <x:c r="J24" s="26" t="str">
        <x:v>清理用户可见与无必要的历史命名；对兼容 ID/mutex/env 逐项分类，不做全仓字符串替换。</x:v>
      </x:c>
      <x:c r="K24" s="26" t="str">
        <x:v>CANONICAL-NAMING；当前树中 legacy hits；compat contracts；tests。</x:v>
      </x:c>
      <x:c r="L24" s="26" t="str">
        <x:v>可改文档/用户 copy/脚本名/compat mapping，前提是有迁移与回归。</x:v>
      </x:c>
      <x:c r="M24" s="26" t="str">
        <x:v>禁止直接改 product_id=ZBMP/domain_id=zbmp 等有存储契约的兼容 ID；禁止随意改 Global\ZBrandCoreLauncher8201。</x:v>
      </x:c>
      <x:c r="N24" s="26" t="str">
        <x:v>用户可见只剩 序境/LUMENIS/BMP/CTH；保留兼容标识有注释/owner/迁移理由；3 个显著 legacy path 有处置。</x:v>
      </x:c>
      <x:c r="O24" s="26" t="str">
        <x:v>rg -n "Z-Brand|ZBrand|ZBC|zbrand" . --glob "!intelligence_library/**" --glob "!docs/**" ; 运行 naming/only-one guards。</x:v>
      </x:c>
    </x:row>
    <x:row r="25" ht="42" customHeight="1">
      <x:c r="A25" s="26" t="n">
        <x:v>31</x:v>
      </x:c>
      <x:c r="B25" s="26" t="n">
        <x:v>21</x:v>
      </x:c>
      <x:c r="C25" s="26" t="str">
        <x:v>SOL-020</x:v>
      </x:c>
      <x:c r="D25" s="26" t="str">
        <x:v>SOL</x:v>
      </x:c>
      <x:c r="E25" s="26" t="str">
        <x:v>Experience 共用 Primitive 边界审核</x:v>
      </x:c>
      <x:c r="F25" s="26" t="n">
        <x:v>8</x:v>
      </x:c>
      <x:c r="G25" s="26" t="str">
        <x:v>cross-surface foundation</x:v>
      </x:c>
      <x:c r="H25" s="26" t="str">
        <x:v>PARTIAL</x:v>
      </x:c>
      <x:c r="I25" s="26" t="str">
        <x:v>产品判断/验收</x:v>
      </x:c>
      <x:c r="J25" s="26" t="str">
        <x:v>决定哪些行为可成为共享 primitive（typography/input/evidence/state/focus/motion），哪些必须留在 screen composition，防止 Luna 做 universal renderer。</x:v>
      </x:c>
      <x:c r="K25" s="26" t="str">
        <x:v>Experience Constitution §§4-8/24-28；现有 lumenis_theme.dart；6 screen code。</x:v>
      </x:c>
      <x:c r="L25" s="26" t="str">
        <x:v>批准 primitive 清单与禁止抽象清单；不直接写实现。</x:v>
      </x:c>
      <x:c r="M25" s="26" t="str">
        <x:v>禁止 common page skeleton；禁止 sectionTypes 驱动 44 屏；禁止卡片网格当复用策略。</x:v>
      </x:c>
      <x:c r="N25" s="26" t="str">
        <x:v>输出共享 primitive whitelist + screen-specific composition red lines。</x:v>
      </x:c>
      <x:c r="O25" s="26" t="str">
        <x:v>对比五个 Golden Page 顶层 signature 必须不同。</x:v>
      </x:c>
    </x:row>
    <x:row r="26" ht="42" customHeight="1">
      <x:c r="A26" s="26" t="n">
        <x:v>32</x:v>
      </x:c>
      <x:c r="B26" s="26" t="n">
        <x:v>22</x:v>
      </x:c>
      <x:c r="C26" s="26" t="str">
        <x:v>LUNA-021</x:v>
      </x:c>
      <x:c r="D26" s="26" t="str">
        <x:v>LUNA</x:v>
      </x:c>
      <x:c r="E26" s="26" t="str">
        <x:v>Flutter Shell Context-aware 重构</x:v>
      </x:c>
      <x:c r="F26" s="26" t="n">
        <x:v>8</x:v>
      </x:c>
      <x:c r="G26" s="26" t="str">
        <x:v>cross-surface foundation</x:v>
      </x:c>
      <x:c r="H26" s="26" t="str">
        <x:v>PARTIAL</x:v>
      </x:c>
      <x:c r="I26" s="26" t="str">
        <x:v>源码执行/验证</x:v>
      </x:c>
      <x:c r="J26" s="26" t="str">
        <x:v>把现有五目的地工程壳重构成 context-aware workspace：Subject/Brand/Task/Runtime 状态清晰，但不把 44 个 route 平铺成导航。</x:v>
      </x:c>
      <x:c r="K26" s="26" t="str">
        <x:v>lumenis_workspace_shell.dart；launch_surface.dart；ProductDomain；SOL-020；Experience Constitution。</x:v>
      </x:c>
      <x:c r="L26" s="26" t="str">
        <x:v>只改 app shell/core primitives/tests；不碰业务 API。</x:v>
      </x:c>
      <x:c r="M26" s="26" t="str">
        <x:v>禁止通用 SaaS sidebar；禁止把 SYSTEM 技术词塞用户主导航；禁止把 CTH/BMP 变换色同模板。</x:v>
      </x:c>
      <x:c r="N26" s="26" t="str">
        <x:v>360/390/430/768/1024/1280/1440/1920 无 overflow；navigation/restoration/context 可测试。</x:v>
      </x:c>
      <x:c r="O26" s="26" t="str">
        <x:v>cd app &amp;&amp; flutter analyze &amp;&amp; flutter test test/shell/lumenis_workspace_shell_test.dart</x:v>
      </x:c>
    </x:row>
    <x:row r="27" ht="42" customHeight="1">
      <x:c r="A27" s="26" t="n">
        <x:v>33</x:v>
      </x:c>
      <x:c r="B27" s="26" t="n">
        <x:v>23</x:v>
      </x:c>
      <x:c r="C27" s="26" t="str">
        <x:v>LUNA-022</x:v>
      </x:c>
      <x:c r="D27" s="26" t="str">
        <x:v>LUNA</x:v>
      </x:c>
      <x:c r="E27" s="26" t="str">
        <x:v>State / Evidence / Focus 共享 Primitive</x:v>
      </x:c>
      <x:c r="F27" s="26" t="n">
        <x:v>8</x:v>
      </x:c>
      <x:c r="G27" s="26" t="str">
        <x:v>cross-surface foundation</x:v>
      </x:c>
      <x:c r="H27" s="26" t="str">
        <x:v>PARTIAL</x:v>
      </x:c>
      <x:c r="I27" s="26" t="str">
        <x:v>源码执行/验证</x:v>
      </x:c>
      <x:c r="J27" s="26" t="str">
        <x:v>实现可复用但不决定页面布局的 State、Evidence anchor、Trace/Return、focus、loading/error/offline 等语义 primitives。</x:v>
      </x:c>
      <x:c r="K27" s="26" t="str">
        <x:v>SOL-020 whitelist；STATE_REGISTRY；EVIDENCE_REGISTRY；current theme。</x:v>
      </x:c>
      <x:c r="L27" s="26" t="str">
        <x:v>只改 app/lib/core 或明确 shared presentation primitives + tests。</x:v>
      </x:c>
      <x:c r="M27" s="26" t="str">
        <x:v>禁止 shared screen renderer；禁止 missing→0；禁止 state 仅靠颜色。</x:v>
      </x:c>
      <x:c r="N27" s="26" t="str">
        <x:v>各 screen 可组合使用；无视觉骨架绑定；键盘/语义/屏读可测试。</x:v>
      </x:c>
      <x:c r="O27" s="26" t="str">
        <x:v>cd app &amp;&amp; flutter analyze &amp;&amp; flutter test</x:v>
      </x:c>
    </x:row>
    <x:row r="28" ht="42" customHeight="1">
      <x:c r="A28" s="26" t="n">
        <x:v>34</x:v>
      </x:c>
      <x:c r="B28" s="26" t="n">
        <x:v>24</x:v>
      </x:c>
      <x:c r="C28" s="26" t="str">
        <x:v>LUNA-023</x:v>
      </x:c>
      <x:c r="D28" s="26" t="str">
        <x:v>LUNA</x:v>
      </x:c>
      <x:c r="E28" s="26" t="str">
        <x:v>三语 Copy Key / 长文本 / Locale 基础</x:v>
      </x:c>
      <x:c r="F28" s="26" t="n">
        <x:v>8</x:v>
      </x:c>
      <x:c r="G28" s="26" t="str">
        <x:v>cross-surface foundation</x:v>
      </x:c>
      <x:c r="H28" s="26" t="str">
        <x:v>PARTIAL</x:v>
      </x:c>
      <x:c r="I28" s="26" t="str">
        <x:v>源码执行/验证</x:v>
      </x:c>
      <x:c r="J28" s="26" t="str">
        <x:v>把 machine ID→semantic key→ZH/EN/KO display 的基础接到 Flutter；真实 business data 不进 locale copy。</x:v>
      </x:c>
      <x:c r="K28" s="26" t="str">
        <x:v>contracts/experience/i18n/*；current screen labels；Flutter app。</x:v>
      </x:c>
      <x:c r="L28" s="26" t="str">
        <x:v>只改 localization plumbing、copy registry adapters、tests。</x:v>
      </x:c>
      <x:c r="M28" s="26" t="str">
        <x:v>禁止翻译 Subject/Brand/Event/Evidence 数据；禁止把 internal IDs 暴露给用户。</x:v>
      </x:c>
      <x:c r="N28" s="26" t="str">
        <x:v>关键 shell/state/action copy 可三语；long text 不溢出；fallback 明确。</x:v>
      </x:c>
      <x:c r="O28" s="26" t="str">
        <x:v>cd app &amp;&amp; flutter test ; python scripts/localization_guard.py || true</x:v>
      </x:c>
    </x:row>
    <x:row r="29" ht="42" customHeight="1">
      <x:c r="A29" s="26" t="n">
        <x:v>35</x:v>
      </x:c>
      <x:c r="B29" s="26" t="n">
        <x:v>25</x:v>
      </x:c>
      <x:c r="C29" s="26" t="str">
        <x:v>SOL-024</x:v>
      </x:c>
      <x:c r="D29" s="26" t="str">
        <x:v>SOL</x:v>
      </x:c>
      <x:c r="E29" s="26" t="str">
        <x:v>Golden Pages 开工顺序与验收门</x:v>
      </x:c>
      <x:c r="F29" s="26" t="n">
        <x:v>9</x:v>
      </x:c>
      <x:c r="G29" s="26" t="str">
        <x:v>golden pages / CTH-02</x:v>
      </x:c>
      <x:c r="H29" s="26" t="str">
        <x:v>PARTIAL</x:v>
      </x:c>
      <x:c r="I29" s="26" t="str">
        <x:v>产品判断/验收</x:v>
      </x:c>
      <x:c r="J29" s="26" t="str">
        <x:v>确认五 Golden Pages + CTH-02 的实现顺序，要求先关闭对应 backend scope，再做 UI，再做 acceptance。</x:v>
      </x:c>
      <x:c r="K29" s="26" t="str">
        <x:v>AI-01/CTH-01/BMP-01/SH-01/SYS-01/CTH-02 specs + gap 状态。</x:v>
      </x:c>
      <x:c r="L29" s="26" t="str">
        <x:v>只排序/设门，不新增页面。</x:v>
      </x:c>
      <x:c r="M29" s="26" t="str">
        <x:v>禁止并行改同一 shared owner；禁止 UI 先吃 global/unscoped data。</x:v>
      </x:c>
      <x:c r="N29" s="26" t="str">
        <x:v>每个 Golden Page 有独立 GO 条件；后续 remaining screens 才能按 workflow family 展开。</x:v>
      </x:c>
      <x:c r="O29" s="26" t="str">
        <x:v>检查 specs status 与 gap closure。</x:v>
      </x:c>
    </x:row>
    <x:row r="30" ht="42" customHeight="1">
      <x:c r="A30" s="26" t="n">
        <x:v>36</x:v>
      </x:c>
      <x:c r="B30" s="26" t="n">
        <x:v>26</x:v>
      </x:c>
      <x:c r="C30" s="26" t="str">
        <x:v>SOL-025</x:v>
      </x:c>
      <x:c r="D30" s="26" t="str">
        <x:v>SOL</x:v>
      </x:c>
      <x:c r="E30" s="26" t="str">
        <x:v>ACC-01｜认证入口：Screen Spec 闭合</x:v>
      </x:c>
      <x:c r="F30" s="26" t="n">
        <x:v>14</x:v>
      </x:c>
      <x:c r="G30" s="26" t="str">
        <x:v>remaining ACC / AI / Shared / SYSTEM</x:v>
      </x:c>
      <x:c r="H30" s="26" t="str">
        <x:v>ABSENT</x:v>
      </x:c>
      <x:c r="I30" s="26" t="str">
        <x:v>产品判断/验收</x:v>
      </x:c>
      <x:c r="J30" s="26" t="str">
        <x:v>把 ACC-01 的用户问题、entry/return、PC/mobile composition、真实 fields/actions、state matrix、permission/evidence、acceptance 全部收敛成可施工 Spec。</x:v>
      </x:c>
      <x:c r="K30" s="26" t="str">
        <x:v>Experience Constitution §36 ACC-01 blueprint；contracts/experience/screens/ACC-01/；binding registry；BACKEND-GAP-001；当前 source owner/caller/tests。</x:v>
      </x:c>
      <x:c r="L30" s="26" t="str">
        <x:v>只更新/审核 contracts/experience/screen-specifications/&lt;ID&gt;.md 与必要 binding ledger；产品架构不变。</x:v>
      </x:c>
      <x:c r="M30" s="26" t="str">
        <x:v>禁止从 fixture 推断 production；UNKNOWN owner/API/permission/lineage 必须阻塞相应行为；禁止画成通用 dashboard。</x:v>
      </x:c>
      <x:c r="N30" s="26" t="str">
        <x:v>Spec 明确：安静的身份入口；仅展示真实支持的认证方式，内测前不得形成全局产品账号墙。；主操作：凭据/已支持登录 → 校验/拒绝/恢复；业务读取仍需后续 Permission。；移动：单列表单，显式返回与错误恢复。；所 有字段/动作有 source 或明确 BLOCKED。</x:v>
      </x:c>
      <x:c r="O30" s="26" t="str">
        <x:v>python scripts/audit_tools/verify_experience_screen_blueprints.py；人工核对 Spec 10 sections 完整，产品 owner approval 记录清楚。</x:v>
      </x:c>
    </x:row>
    <x:row r="31" ht="42" customHeight="1">
      <x:c r="A31" s="26" t="n">
        <x:v>37</x:v>
      </x:c>
      <x:c r="B31" s="26" t="n">
        <x:v>27</x:v>
      </x:c>
      <x:c r="C31" s="26" t="str">
        <x:v>LUNA-026</x:v>
      </x:c>
      <x:c r="D31" s="26" t="str">
        <x:v>LUNA</x:v>
      </x:c>
      <x:c r="E31" s="26" t="str">
        <x:v>ACC-01｜认证入口：Backend / Binding 闭合</x:v>
      </x:c>
      <x:c r="F31" s="26" t="n">
        <x:v>14</x:v>
      </x:c>
      <x:c r="G31" s="26" t="str">
        <x:v>remaining ACC / AI / Shared / SYSTEM</x:v>
      </x:c>
      <x:c r="H31" s="26" t="str">
        <x:v>PARTIAL</x:v>
      </x:c>
      <x:c r="I31" s="26" t="str">
        <x:v>源码执行/验证</x:v>
      </x:c>
      <x:c r="J31" s="26" t="str">
        <x:v>仅关闭 ACC-01 依赖的真实后端 binding：复用 canonical owner，把 scope/Permission/Evidence/state 绑定完整；不做 UI。</x:v>
      </x:c>
      <x:c r="K31" s="26" t="str">
        <x:v>已批准 ACC-01 Screen Spec；BACKEND_GAP rows 001；当前 owner/caller/tests；binding registry。</x:v>
      </x:c>
      <x:c r="L31" s="26" t="str">
        <x:v>只改对应 canonical owner、最小 API/ViewModel adapter、contracts 与 targeted tests。</x:v>
      </x:c>
      <x:c r="M31" s="26" t="str">
        <x:v>禁止创建平行 DB/Evidence/Permission/Collector/AI owner；禁止 mock success；禁止 unscoped global data；禁止改 UI composition。</x:v>
      </x:c>
      <x:c r="N31" s="26" t="str">
        <x:v>保留 Core Basic 与 v4 account 两条现有身份通道；先验证真实行为，再绑定逐屏权限。；成功/空/未采集/离线/拒绝/错误可区分；binding registry 有当前 source evidence；acceptance 仍需 UI/E2E。</x:v>
      </x:c>
      <x:c r="O31" s="26" t="str">
        <x:v>python -m pytest tests/test_experience_runtime.py tests/test_experience_e2e_candidate.py -q</x:v>
      </x:c>
    </x:row>
    <x:row r="32" ht="42" customHeight="1">
      <x:c r="A32" s="26" t="n">
        <x:v>38</x:v>
      </x:c>
      <x:c r="B32" s="26" t="n">
        <x:v>28</x:v>
      </x:c>
      <x:c r="C32" s="26" t="str">
        <x:v>LUNA-027</x:v>
      </x:c>
      <x:c r="D32" s="26" t="str">
        <x:v>LUNA</x:v>
      </x:c>
      <x:c r="E32" s="26" t="str">
        <x:v>ACC-01｜认证入口：App UI / UX 实现</x:v>
      </x:c>
      <x:c r="F32" s="26" t="n">
        <x:v>14</x:v>
      </x:c>
      <x:c r="G32" s="26" t="str">
        <x:v>remaining ACC / AI / Shared / SYSTEM</x:v>
      </x:c>
      <x:c r="H32" s="26" t="str">
        <x:v>ABSENT</x:v>
      </x:c>
      <x:c r="I32" s="26" t="str">
        <x:v>源码执行/验证</x:v>
      </x:c>
      <x:c r="J32" s="26" t="str">
        <x:v>在 backend contract 已可信后，实现 ACC-01 的 purpose-built Flutter Experience。用户只看到任务、内容、结果与操 作，系统内部 owner/tool/evidence contract 退到产品背后。</x:v>
      </x:c>
      <x:c r="K32" s="26" t="str">
        <x:v>已批准 ACC-01 Spec；typed ViewModel/API；Experience Constitution；shared primitives whitelist；本页草图。</x:v>
      </x:c>
      <x:c r="L32" s="26" t="str">
        <x:v>仅 app/lib/features/acc/**/acc01/** (或 Sol 审核后的同 owner feature slice) + matching app/test/**；必要时只复 用已批准 shared primitives。</x:v>
      </x:c>
      <x:c r="M32" s="26" t="str">
        <x:v>禁止 generic renderer / Bento / KPI wall / SaaS dashboard / 换标题复用；禁止改 backend truth；禁止假数据；禁止 PC 缩放成 mobile。</x:v>
      </x:c>
      <x:c r="N32" s="26" t="str">
        <x:v>PC 与 mobile 均表达：安静的身份入口；仅展示真实支持的认证方式，内测前不得形成全局产品账号墙。；主交互完成：凭 据/已支持登录 → 校验/拒绝/恢复；业务读取仍需后续 Permission。；mobile 重组：单列表单，显式返回与错误恢复。； 状态/Trace/Return/keyboard/touch/semantics 完整。</x:v>
      </x:c>
      <x:c r="O32" s="26" t="str">
        <x:v>cd app &amp;&amp; flutter analyze &amp;&amp; flutter test ; python scripts/audit_tools/verify_experience_anti_template.py --st rict</x:v>
      </x:c>
    </x:row>
    <x:row r="33" ht="42" customHeight="1">
      <x:c r="A33" s="26" t="n">
        <x:v>39</x:v>
      </x:c>
      <x:c r="B33" s="26" t="n">
        <x:v>29</x:v>
      </x:c>
      <x:c r="C33" s="26" t="str">
        <x:v>LUNA-028</x:v>
      </x:c>
      <x:c r="D33" s="26" t="str">
        <x:v>LUNA</x:v>
      </x:c>
      <x:c r="E33" s="26" t="str">
        <x:v>ACC-01｜认证入口：Acceptance / E2E 证据</x:v>
      </x:c>
      <x:c r="F33" s="26" t="n">
        <x:v>14</x:v>
      </x:c>
      <x:c r="G33" s="26" t="str">
        <x:v>remaining ACC / AI / Shared / SYSTEM</x:v>
      </x:c>
      <x:c r="H33" s="26" t="str">
        <x:v>ABSENT</x:v>
      </x:c>
      <x:c r="I33" s="26" t="str">
        <x:v>源码执行/验证</x:v>
      </x:c>
      <x:c r="J33" s="26" t="str">
        <x:v>独立验证 ACC-01 的真实用户任务，从 App action 到 API/Permission/Canonical/Evidence/result/Return，不以“页面能渲染”作为完成。</x:v>
      </x:c>
      <x:c r="K33" s="26" t="str">
        <x:v>ACC-01 Spec acceptance IDs；Flutter tests；backend tests；runtime/E2E harness；真实/隔离数据按 tier 使用。</x:v>
      </x:c>
      <x:c r="L33" s="26" t="str">
        <x:v>只补测试、测试辅助与明确 bug fix；若发现实现问题回修本 screen owner。</x:v>
      </x:c>
      <x:c r="M33" s="26" t="str">
        <x:v>禁止降低 assertion；禁止 screenshot 自证；禁止把 excluded/quarantine 当 PASS；禁止 fixture 代替 live claim。</x:v>
      </x:c>
      <x:c r="N33" s="26" t="str">
        <x:v>Widget/API/integration 至少全绿；关键 responsive widths；blocked/error/retry/Trace/Return；需要 live 的标为 LIVE_VERIFIED 或明确未验证。</x:v>
      </x:c>
      <x:c r="O33" s="26" t="str">
        <x:v>cd app &amp;&amp; flutter analyze &amp;&amp; flutter test ; python -m pytest tests/test_experience_runtime.py tests/test_experience_e2e_candidate.py -q ; python scripts/audit_tools/verify_experience_authority_exclusi ve.py ; python scripts/audit_tools/verify_experience_anti_template.py --strict ; python scripts/audit_tools/verify_experience_screen_blueprints.py</x:v>
      </x:c>
    </x:row>
    <x:row r="34" ht="42" customHeight="1">
      <x:c r="A34" s="26" t="n">
        <x:v>40</x:v>
      </x:c>
      <x:c r="B34" s="26" t="n">
        <x:v>30</x:v>
      </x:c>
      <x:c r="C34" s="26" t="str">
        <x:v>SOL-029</x:v>
      </x:c>
      <x:c r="D34" s="26" t="str">
        <x:v>SOL</x:v>
      </x:c>
      <x:c r="E34" s="26" t="str">
        <x:v>ACC-02｜主体与 Lens 选择：Screen Spec 闭合</x:v>
      </x:c>
      <x:c r="F34" s="26" t="n">
        <x:v>14</x:v>
      </x:c>
      <x:c r="G34" s="26" t="str">
        <x:v>remaining ACC / AI / Shared / SYSTEM</x:v>
      </x:c>
      <x:c r="H34" s="26" t="str">
        <x:v>ABSENT</x:v>
      </x:c>
      <x:c r="I34" s="26" t="str">
        <x:v>产品判断/验收</x:v>
      </x:c>
      <x:c r="J34" s="26" t="str">
        <x:v>把 ACC-02 的用户问题、entry/return、PC/mobile composition、真实 fields/actions、state matrix、permission/evidence、acceptance 全部收敛成可施工 Spec。</x:v>
      </x:c>
      <x:c r="K34" s="26" t="str">
        <x:v>Experience Constitution §36 ACC-02 blueprint；contracts/experience/screens/ACC-02/；binding registry；BACKEND-GAP-002；当前 source owner/caller/tests。</x:v>
      </x:c>
      <x:c r="L34" s="26" t="str">
        <x:v>只更新/审核 contracts/experience/screen-specifications/&lt;ID&gt;.md 与必要 binding ledger；产品架构不变。</x:v>
      </x:c>
      <x:c r="M34" s="26" t="str">
        <x:v>禁止从 fixture 推断 production；UNKNOWN owner/API/permission/lineage 必须阻塞相应行为；禁止画成通用 dashboard。</x:v>
      </x:c>
      <x:c r="N34" s="26" t="str">
        <x:v>Spec 明确：先选择授权 Subject，再选择 CTH/BMP Lens；Subject 身份与观察 Lens 分离。；主操作：搜索/选 Subject → 选择可用 Lens → 服务端决定目的地。；移动：全屏主体列表 → 主体确认 → Lens。；所有字段/ 动作有 source 或明确 BLOCKED。</x:v>
      </x:c>
      <x:c r="O34" s="26" t="str">
        <x:v>python scripts/audit_tools/verify_experience_screen_blueprints.py；人工核对 Spec 10 sections 完整，产品 owner approval 记录清楚。</x:v>
      </x:c>
    </x:row>
    <x:row r="35" ht="42" customHeight="1">
      <x:c r="A35" s="26" t="n">
        <x:v>41</x:v>
      </x:c>
      <x:c r="B35" s="26" t="n">
        <x:v>31</x:v>
      </x:c>
      <x:c r="C35" s="26" t="str">
        <x:v>LUNA-030</x:v>
      </x:c>
      <x:c r="D35" s="26" t="str">
        <x:v>LUNA</x:v>
      </x:c>
      <x:c r="E35" s="26" t="str">
        <x:v>ACC-02｜主体与 Lens 选择：Backend / Binding 闭合</x:v>
      </x:c>
      <x:c r="F35" s="26" t="n">
        <x:v>14</x:v>
      </x:c>
      <x:c r="G35" s="26" t="str">
        <x:v>remaining ACC / AI / Shared / SYSTEM</x:v>
      </x:c>
      <x:c r="H35" s="26" t="str">
        <x:v>PARTIAL</x:v>
      </x:c>
      <x:c r="I35" s="26" t="str">
        <x:v>源码执行/验证</x:v>
      </x:c>
      <x:c r="J35" s="26" t="str">
        <x:v>仅关闭 ACC-02 依赖的真实后端 binding：复用 canonical owner，把 scope/Permission/Evidence/state 绑定完整；不做 UI。</x:v>
      </x:c>
      <x:c r="K35" s="26" t="str">
        <x:v>已批准 ACC-02 Screen Spec；BACKEND_GAP rows 002；当前 owner/caller/tests；binding registry。</x:v>
      </x:c>
      <x:c r="L35" s="26" t="str">
        <x:v>只改对应 canonical owner、最小 API/ViewModel adapter、contracts 与 targeted tests。</x:v>
      </x:c>
      <x:c r="M35" s="26" t="str">
        <x:v>禁止创建平行 DB/Evidence/Permission/Collector/AI owner；禁止 mock success；禁止 unscoped global data；禁止改 UI composition。</x:v>
      </x:c>
      <x:c r="N35" s="26" t="str">
        <x:v>保留 selection-only registry；活动 Subject 切换必须走既有 context + per-Subject Permission。；成功/空/未采集/离线/拒绝/错误可区分；binding registry 有当前 source evidence；acceptance 仍需 UI/E2E。</x:v>
      </x:c>
      <x:c r="O35" s="26" t="str">
        <x:v>python -m pytest tests/test_experience_runtime.py tests/test_experience_e2e_candidate.py -q</x:v>
      </x:c>
    </x:row>
    <x:row r="36" ht="42" customHeight="1">
      <x:c r="A36" s="26" t="n">
        <x:v>42</x:v>
      </x:c>
      <x:c r="B36" s="26" t="n">
        <x:v>32</x:v>
      </x:c>
      <x:c r="C36" s="26" t="str">
        <x:v>LUNA-031</x:v>
      </x:c>
      <x:c r="D36" s="26" t="str">
        <x:v>LUNA</x:v>
      </x:c>
      <x:c r="E36" s="26" t="str">
        <x:v>ACC-02｜主体与 Lens 选择：App UI / UX 实现</x:v>
      </x:c>
      <x:c r="F36" s="26" t="n">
        <x:v>14</x:v>
      </x:c>
      <x:c r="G36" s="26" t="str">
        <x:v>remaining ACC / AI / Shared / SYSTEM</x:v>
      </x:c>
      <x:c r="H36" s="26" t="str">
        <x:v>ABSENT</x:v>
      </x:c>
      <x:c r="I36" s="26" t="str">
        <x:v>源码执行/验证</x:v>
      </x:c>
      <x:c r="J36" s="26" t="str">
        <x:v>在 backend contract 已可信后，实现 ACC-02 的 purpose-built Flutter Experience。用户只看到任务、内容、结果与操 作，系统内部 owner/tool/evidence contract 退到产品背后。</x:v>
      </x:c>
      <x:c r="K36" s="26" t="str">
        <x:v>已批准 ACC-02 Spec；typed ViewModel/API；Experience Constitution；shared primitives whitelist；本页草图。</x:v>
      </x:c>
      <x:c r="L36" s="26" t="str">
        <x:v>仅 app/lib/features/acc/**/acc02/** (或 Sol 审核后的同 owner feature slice) + matching app/test/**；必要时只复 用已批准 shared primitives。</x:v>
      </x:c>
      <x:c r="M36" s="26" t="str">
        <x:v>禁止 generic renderer / Bento / KPI wall / SaaS dashboard / 换标题复用；禁止改 backend truth；禁止假数据；禁止 PC 缩放成 mobile。</x:v>
      </x:c>
      <x:c r="N36" s="26" t="str">
        <x:v>PC 与 mobile 均表达：先选择授权 Subject，再选择 CTH/BMP Lens；Subject 身份与观察 Lens 分离。；主交互完成：搜索 /选 Subject → 选择可用 Lens → 服务端决定目的地。；mobile 重组：全屏主体列表 → 主体确认 → Lens。；状态/Trac e/Return/keyboard/touch/semantics 完整。</x:v>
      </x:c>
      <x:c r="O36" s="26" t="str">
        <x:v>cd app &amp;&amp; flutter analyze &amp;&amp; flutter test ; python scripts/audit_tools/verify_experience_anti_template.py --st rict</x:v>
      </x:c>
    </x:row>
    <x:row r="37" ht="42" customHeight="1">
      <x:c r="A37" s="26" t="n">
        <x:v>43</x:v>
      </x:c>
      <x:c r="B37" s="26" t="n">
        <x:v>33</x:v>
      </x:c>
      <x:c r="C37" s="26" t="str">
        <x:v>LUNA-032</x:v>
      </x:c>
      <x:c r="D37" s="26" t="str">
        <x:v>LUNA</x:v>
      </x:c>
      <x:c r="E37" s="26" t="str">
        <x:v>ACC-02｜主体与 Lens 选择：Acceptance / E2E 证据</x:v>
      </x:c>
      <x:c r="F37" s="26" t="n">
        <x:v>14</x:v>
      </x:c>
      <x:c r="G37" s="26" t="str">
        <x:v>remaining ACC / AI / Shared / SYSTEM</x:v>
      </x:c>
      <x:c r="H37" s="26" t="str">
        <x:v>ABSENT</x:v>
      </x:c>
      <x:c r="I37" s="26" t="str">
        <x:v>源码执行/验证</x:v>
      </x:c>
      <x:c r="J37" s="26" t="str">
        <x:v>独立验证 ACC-02 的真实用户任务，从 App action 到 API/Permission/Canonical/Evidence/result/Return，不以“页面能渲染”作为完成。</x:v>
      </x:c>
      <x:c r="K37" s="26" t="str">
        <x:v>ACC-02 Spec acceptance IDs；Flutter tests；backend tests；runtime/E2E harness；真实/隔离数据按 tier 使用。</x:v>
      </x:c>
      <x:c r="L37" s="26" t="str">
        <x:v>只补测试、测试辅助与明确 bug fix；若发现实现问题回修本 screen owner。</x:v>
      </x:c>
      <x:c r="M37" s="26" t="str">
        <x:v>禁止降低 assertion；禁止 screenshot 自证；禁止把 excluded/quarantine 当 PASS；禁止 fixture 代替 live claim。</x:v>
      </x:c>
      <x:c r="N37" s="26" t="str">
        <x:v>Widget/API/integration 至少全绿；关键 responsive widths；blocked/error/retry/Trace/Return；需要 live 的标为 LIVE_VERIFIED 或明确未验证。</x:v>
      </x:c>
      <x:c r="O37" s="26" t="str">
        <x:v>cd app &amp;&amp; flutter analyze &amp;&amp; flutter test ; python -m pytest tests/test_experience_runtime.py tests/test_experience_e2e_candidate.py -q ; python scripts/audit_tools/verify_experience_authority_exclusi ve.py ; python scripts/audit_tools/verify_experience_anti_template.py --strict ; python scripts/audit_tools/verify_experience_screen_blueprints.py</x:v>
      </x:c>
    </x:row>
    <x:row r="38" ht="42" customHeight="1">
      <x:c r="A38" s="26" t="n">
        <x:v>44</x:v>
      </x:c>
      <x:c r="B38" s="26" t="n">
        <x:v>34</x:v>
      </x:c>
      <x:c r="C38" s="26" t="str">
        <x:v>SOL-033</x:v>
      </x:c>
      <x:c r="D38" s="26" t="str">
        <x:v>SOL</x:v>
      </x:c>
      <x:c r="E38" s="26" t="str">
        <x:v>ACC-03｜工作区启动：Screen Spec 闭合</x:v>
      </x:c>
      <x:c r="F38" s="26" t="n">
        <x:v>14</x:v>
      </x:c>
      <x:c r="G38" s="26" t="str">
        <x:v>remaining ACC / AI / Shared / SYSTEM</x:v>
      </x:c>
      <x:c r="H38" s="26" t="str">
        <x:v>ABSENT</x:v>
      </x:c>
      <x:c r="I38" s="26" t="str">
        <x:v>产品判断/验收</x:v>
      </x:c>
      <x:c r="J38" s="26" t="str">
        <x:v>把 ACC-03 的用户问题、entry/return、PC/mobile composition、真实 fields/actions、state matrix、permission/evidence、acceptance 全部收敛成可施工 Spec。</x:v>
      </x:c>
      <x:c r="K38" s="26" t="str">
        <x:v>Experience Constitution §36 ACC-03 blueprint；contracts/experience/screens/ACC-03/；binding registry；BACKEND-GAP-003；当前 source owner/caller/tests。</x:v>
      </x:c>
      <x:c r="L38" s="26" t="str">
        <x:v>只更新/审核 contracts/experience/screen-specifications/&lt;ID&gt;.md 与必要 binding ledger；产品架构不变。</x:v>
      </x:c>
      <x:c r="M38" s="26" t="str">
        <x:v>禁止从 fixture 推断 production；UNKNOWN owner/API/permission/lineage 必须阻塞相应行为；禁止画成通用 dashboard。</x:v>
      </x:c>
      <x:c r="N38" s="26" t="str">
        <x:v>Spec 明确：最近工作、CTH/BMP 入口、AI 单一意图入口组成启动空间；健康状态只是小指示。；主操作：恢复可恢复上下文或开始一个明确任务。；移动：紧凑目的地 + 一个主要 Resume/Start。；所有字段/动作有 source 或明确 BLOCKED。</x:v>
      </x:c>
      <x:c r="O38" s="26" t="str">
        <x:v>python scripts/audit_tools/verify_experience_screen_blueprints.py；人工核对 Spec 10 sections 完整，产品 owner approval 记录清楚。</x:v>
      </x:c>
    </x:row>
    <x:row r="39" ht="42" customHeight="1">
      <x:c r="A39" s="26" t="n">
        <x:v>45</x:v>
      </x:c>
      <x:c r="B39" s="26" t="n">
        <x:v>35</x:v>
      </x:c>
      <x:c r="C39" s="26" t="str">
        <x:v>LUNA-034</x:v>
      </x:c>
      <x:c r="D39" s="26" t="str">
        <x:v>LUNA</x:v>
      </x:c>
      <x:c r="E39" s="26" t="str">
        <x:v>ACC-03｜工作区启动：Backend / Binding 闭合</x:v>
      </x:c>
      <x:c r="F39" s="26" t="n">
        <x:v>14</x:v>
      </x:c>
      <x:c r="G39" s="26" t="str">
        <x:v>remaining ACC / AI / Shared / SYSTEM</x:v>
      </x:c>
      <x:c r="H39" s="26" t="str">
        <x:v>PARTIAL</x:v>
      </x:c>
      <x:c r="I39" s="26" t="str">
        <x:v>源码执行/验证</x:v>
      </x:c>
      <x:c r="J39" s="26" t="str">
        <x:v>仅关闭 ACC-03 依赖的真实后端 binding：复用 canonical owner，把 scope/Permission/Evidence/state 绑定完整；不做 UI。</x:v>
      </x:c>
      <x:c r="K39" s="26" t="str">
        <x:v>已批准 ACC-03 Screen Spec；BACKEND_GAP rows 003；当前 owner/caller/tests；binding registry。</x:v>
      </x:c>
      <x:c r="L39" s="26" t="str">
        <x:v>只改对应 canonical owner、最小 API/ViewModel adapter、contracts 与 targeted tests。</x:v>
      </x:c>
      <x:c r="M39" s="26" t="str">
        <x:v>禁止创建平行 DB/Evidence/Permission/Collector/AI owner；禁止 mock success；禁止 unscoped global data；禁止改 UI composition。</x:v>
      </x:c>
      <x:c r="N39" s="26" t="str">
        <x:v>将 runtime health 读绑定可信 SYSTEM actor；不得把健康状态做成业务 Dashboard。；成功/空/未采集/离线/拒绝/错误可区分；binding registry 有当前 source evidence；acceptance 仍需 UI/E2E。</x:v>
      </x:c>
      <x:c r="O39" s="26" t="str">
        <x:v>python -m pytest tests/test_experience_runtime.py tests/test_experience_e2e_candidate.py -q</x:v>
      </x:c>
    </x:row>
    <x:row r="40" ht="42" customHeight="1">
      <x:c r="A40" s="26" t="n">
        <x:v>46</x:v>
      </x:c>
      <x:c r="B40" s="26" t="n">
        <x:v>36</x:v>
      </x:c>
      <x:c r="C40" s="26" t="str">
        <x:v>LUNA-035</x:v>
      </x:c>
      <x:c r="D40" s="26" t="str">
        <x:v>LUNA</x:v>
      </x:c>
      <x:c r="E40" s="26" t="str">
        <x:v>ACC-03｜工作区启动：App UI / UX 实现</x:v>
      </x:c>
      <x:c r="F40" s="26" t="n">
        <x:v>14</x:v>
      </x:c>
      <x:c r="G40" s="26" t="str">
        <x:v>remaining ACC / AI / Shared / SYSTEM</x:v>
      </x:c>
      <x:c r="H40" s="26" t="str">
        <x:v>ABSENT</x:v>
      </x:c>
      <x:c r="I40" s="26" t="str">
        <x:v>源码执行/验证</x:v>
      </x:c>
      <x:c r="J40" s="26" t="str">
        <x:v>在 backend contract 已可信后，实现 ACC-03 的 purpose-built Flutter Experience。用户只看到任务、内容、结果与操 作，系统内部 owner/tool/evidence contract 退到产品背后。</x:v>
      </x:c>
      <x:c r="K40" s="26" t="str">
        <x:v>已批准 ACC-03 Spec；typed ViewModel/API；Experience Constitution；shared primitives whitelist；本页草图。</x:v>
      </x:c>
      <x:c r="L40" s="26" t="str">
        <x:v>仅 app/lib/features/acc/**/acc03/** (或 Sol 审核后的同 owner feature slice) + matching app/test/**；必要时只复 用已批准 shared primitives。</x:v>
      </x:c>
      <x:c r="M40" s="26" t="str">
        <x:v>禁止 generic renderer / Bento / KPI wall / SaaS dashboard / 换标题复用；禁止改 backend truth；禁止假数据；禁止 PC 缩放成 mobile。</x:v>
      </x:c>
      <x:c r="N40" s="26" t="str">
        <x:v>PC 与 mobile 均表达：最近工作、CTH/BMP 入口、AI 单一意图入口组成启动空间；健康状态只是小指示。；主交互完成：恢 复可恢复上下文或开始一个明确任务。；mobile 重组：紧凑目的地 + 一个主要 Resume/Start。；状态/Trace/Return/keybo ard/touch/semantics 完整。</x:v>
      </x:c>
      <x:c r="O40" s="26" t="str">
        <x:v>cd app &amp;&amp; flutter analyze &amp;&amp; flutter test ; python scripts/audit_tools/verify_experience_anti_template.py --st rict</x:v>
      </x:c>
    </x:row>
    <x:row r="41" ht="42" customHeight="1">
      <x:c r="A41" s="26" t="n">
        <x:v>47</x:v>
      </x:c>
      <x:c r="B41" s="26" t="n">
        <x:v>37</x:v>
      </x:c>
      <x:c r="C41" s="26" t="str">
        <x:v>LUNA-036</x:v>
      </x:c>
      <x:c r="D41" s="26" t="str">
        <x:v>LUNA</x:v>
      </x:c>
      <x:c r="E41" s="26" t="str">
        <x:v>ACC-03｜工作区启动：Acceptance / E2E 证据</x:v>
      </x:c>
      <x:c r="F41" s="26" t="n">
        <x:v>14</x:v>
      </x:c>
      <x:c r="G41" s="26" t="str">
        <x:v>remaining ACC / AI / Shared / SYSTEM</x:v>
      </x:c>
      <x:c r="H41" s="26" t="str">
        <x:v>ABSENT</x:v>
      </x:c>
      <x:c r="I41" s="26" t="str">
        <x:v>源码执行/验证</x:v>
      </x:c>
      <x:c r="J41" s="26" t="str">
        <x:v>独立验证 ACC-03 的真实用户任务，从 App action 到 API/Permission/Canonical/Evidence/result/Return，不以“页面能渲染”作为完成。</x:v>
      </x:c>
      <x:c r="K41" s="26" t="str">
        <x:v>ACC-03 Spec acceptance IDs；Flutter tests；backend tests；runtime/E2E harness；真实/隔离数据按 tier 使用。</x:v>
      </x:c>
      <x:c r="L41" s="26" t="str">
        <x:v>只补测试、测试辅助与明确 bug fix；若发现实现问题回修本 screen owner。</x:v>
      </x:c>
      <x:c r="M41" s="26" t="str">
        <x:v>禁止降低 assertion；禁止 screenshot 自证；禁止把 excluded/quarantine 当 PASS；禁止 fixture 代替 live claim。</x:v>
      </x:c>
      <x:c r="N41" s="26" t="str">
        <x:v>Widget/API/integration 至少全绿；关键 responsive widths；blocked/error/retry/Trace/Return；需要 live 的标为 LIVE_VERIFIED 或明确未验证。</x:v>
      </x:c>
      <x:c r="O41" s="26" t="str">
        <x:v>cd app &amp;&amp; flutter analyze &amp;&amp; flutter test ; python -m pytest tests/test_experience_runtime.py tests/test_experience_e2e_candidate.py -q ; python scripts/audit_tools/verify_experience_authority_exclusi ve.py ; python scripts/audit_tools/verify_experience_anti_template.py --strict ; python scripts/audit_tools/verify_experience_screen_blueprints.py</x:v>
      </x:c>
    </x:row>
    <x:row r="42" ht="42" customHeight="1">
      <x:c r="A42" s="26" t="n">
        <x:v>48</x:v>
      </x:c>
      <x:c r="B42" s="26" t="n">
        <x:v>38</x:v>
      </x:c>
      <x:c r="C42" s="26" t="str">
        <x:v>SOL-037</x:v>
      </x:c>
      <x:c r="D42" s="26" t="str">
        <x:v>SOL</x:v>
      </x:c>
      <x:c r="E42" s="26" t="str">
        <x:v>ACC-04｜访问恢复与守卫：Screen Spec 闭合</x:v>
      </x:c>
      <x:c r="F42" s="26" t="n">
        <x:v>14</x:v>
      </x:c>
      <x:c r="G42" s="26" t="str">
        <x:v>remaining ACC / AI / Shared / SYSTEM</x:v>
      </x:c>
      <x:c r="H42" s="26" t="str">
        <x:v>ABSENT</x:v>
      </x:c>
      <x:c r="I42" s="26" t="str">
        <x:v>产品判断/验收</x:v>
      </x:c>
      <x:c r="J42" s="26" t="str">
        <x:v>把 ACC-04 的用户问题、entry/return、PC/mobile composition、真实 fields/actions、state matrix、permission/evidence、acceptance 全部收敛成可施工 Spec。</x:v>
      </x:c>
      <x:c r="K42" s="26" t="str">
        <x:v>Experience Constitution §36 ACC-04 blueprint；contracts/experience/screens/ACC-04/；binding registry；BACKEND-GAP-004；当前 source owner/caller/tests。</x:v>
      </x:c>
      <x:c r="L42" s="26" t="str">
        <x:v>只更新/审核 contracts/experience/screen-specifications/&lt;ID&gt;.md 与必要 binding ledger；产品架构不变。</x:v>
      </x:c>
      <x:c r="M42" s="26" t="str">
        <x:v>禁止从 fixture 推断 production；UNKNOWN owner/API/permission/lineage 必须阻塞相应行为；禁止画成通用 dashboard。</x:v>
      </x:c>
      <x:c r="N42" s="26" t="str">
        <x:v>Spec 明确：解释具体阻塞步骤、缺失 scope 与真实恢复路径，不伪造角色或权限。；主操作：重试 / 切换已授权上下文 / 真实 request-access（若存在）。；移动：顺序恢复步骤 + 清晰返回。；所有字段/动作有 source 或明确 BLOCKED。</x:v>
      </x:c>
      <x:c r="O42" s="26" t="str">
        <x:v>python scripts/audit_tools/verify_experience_screen_blueprints.py；人工核对 Spec 10 sections 完整，产品 owner approval 记录清楚。</x:v>
      </x:c>
    </x:row>
    <x:row r="43" ht="42" customHeight="1">
      <x:c r="A43" s="26" t="n">
        <x:v>49</x:v>
      </x:c>
      <x:c r="B43" s="26" t="n">
        <x:v>39</x:v>
      </x:c>
      <x:c r="C43" s="26" t="str">
        <x:v>LUNA-038</x:v>
      </x:c>
      <x:c r="D43" s="26" t="str">
        <x:v>LUNA</x:v>
      </x:c>
      <x:c r="E43" s="26" t="str">
        <x:v>ACC-04｜访问恢复与守卫：Backend / Binding 闭合</x:v>
      </x:c>
      <x:c r="F43" s="26" t="n">
        <x:v>14</x:v>
      </x:c>
      <x:c r="G43" s="26" t="str">
        <x:v>remaining ACC / AI / Shared / SYSTEM</x:v>
      </x:c>
      <x:c r="H43" s="26" t="str">
        <x:v>PARTIAL</x:v>
      </x:c>
      <x:c r="I43" s="26" t="str">
        <x:v>源码执行/验证</x:v>
      </x:c>
      <x:c r="J43" s="26" t="str">
        <x:v>仅关闭 ACC-04 依赖的真实后端 binding：复用 canonical owner，把 scope/Permission/Evidence/state 绑定完整；不做 UI。</x:v>
      </x:c>
      <x:c r="K43" s="26" t="str">
        <x:v>已批准 ACC-04 Screen Spec；BACKEND_GAP rows 004；当前 owner/caller/tests；binding registry。</x:v>
      </x:c>
      <x:c r="L43" s="26" t="str">
        <x:v>只改对应 canonical owner、最小 API/ViewModel adapter、contracts 与 targeted tests。</x:v>
      </x:c>
      <x:c r="M43" s="26" t="str">
        <x:v>禁止创建平行 DB/Evidence/Permission/Collector/AI owner；禁止 mock success；禁止 unscoped global data；禁止改 UI composition。</x:v>
      </x:c>
      <x:c r="N43" s="26" t="str">
        <x:v>复用 auth_recovery_center；连接可信 actor、记录 scope，并验证恢复动作边界。；成功/空/未采集/离线/拒绝/错误可区分；binding registry 有当前 source evidence；acceptance 仍需 UI/E2E。</x:v>
      </x:c>
      <x:c r="O43" s="26" t="str">
        <x:v>python -m pytest tests/test_experience_runtime.py tests/test_experience_e2e_candidate.py -q</x:v>
      </x:c>
    </x:row>
    <x:row r="44" ht="42" customHeight="1">
      <x:c r="A44" s="26" t="n">
        <x:v>50</x:v>
      </x:c>
      <x:c r="B44" s="26" t="n">
        <x:v>40</x:v>
      </x:c>
      <x:c r="C44" s="26" t="str">
        <x:v>LUNA-039</x:v>
      </x:c>
      <x:c r="D44" s="26" t="str">
        <x:v>LUNA</x:v>
      </x:c>
      <x:c r="E44" s="26" t="str">
        <x:v>ACC-04｜访问恢复与守卫：App UI / UX 实现</x:v>
      </x:c>
      <x:c r="F44" s="26" t="n">
        <x:v>14</x:v>
      </x:c>
      <x:c r="G44" s="26" t="str">
        <x:v>remaining ACC / AI / Shared / SYSTEM</x:v>
      </x:c>
      <x:c r="H44" s="26" t="str">
        <x:v>ABSENT</x:v>
      </x:c>
      <x:c r="I44" s="26" t="str">
        <x:v>源码执行/验证</x:v>
      </x:c>
      <x:c r="J44" s="26" t="str">
        <x:v>在 backend contract 已可信后，实现 ACC-04 的 purpose-built Flutter Experience。用户只看到任务、内容、结果与操 作，系统内部 owner/tool/evidence contract 退到产品背后。</x:v>
      </x:c>
      <x:c r="K44" s="26" t="str">
        <x:v>已批准 ACC-04 Spec；typed ViewModel/API；Experience Constitution；shared primitives whitelist；本页草图。</x:v>
      </x:c>
      <x:c r="L44" s="26" t="str">
        <x:v>仅 app/lib/features/acc/**/acc04/** (或 Sol 审核后的同 owner feature slice) + matching app/test/**；必要时只复 用已批准 shared primitives。</x:v>
      </x:c>
      <x:c r="M44" s="26" t="str">
        <x:v>禁止 generic renderer / Bento / KPI wall / SaaS dashboard / 换标题复用；禁止改 backend truth；禁止假数据；禁止 PC 缩放成 mobile。</x:v>
      </x:c>
      <x:c r="N44" s="26" t="str">
        <x:v>PC 与 mobile 均表达：解释具体阻塞步骤、缺失 scope 与真实恢复路径，不伪造角色或权限。；主交互完成：重试 / 切换 已授权上下文 / 真实 request-access（若存在）。；mobile 重组：顺序恢复步骤 + 清晰返回。；状态/Trace/Return/keyb oard/touch/semantics 完整。</x:v>
      </x:c>
      <x:c r="O44" s="26" t="str">
        <x:v>cd app &amp;&amp; flutter analyze &amp;&amp; flutter test ; python scripts/audit_tools/verify_experience_anti_template.py --st rict</x:v>
      </x:c>
    </x:row>
    <x:row r="45" ht="42" customHeight="1">
      <x:c r="A45" s="26" t="n">
        <x:v>51</x:v>
      </x:c>
      <x:c r="B45" s="26" t="n">
        <x:v>41</x:v>
      </x:c>
      <x:c r="C45" s="26" t="str">
        <x:v>LUNA-040</x:v>
      </x:c>
      <x:c r="D45" s="26" t="str">
        <x:v>LUNA</x:v>
      </x:c>
      <x:c r="E45" s="26" t="str">
        <x:v>ACC-04｜访问恢复与守卫：Acceptance / E2E 证据</x:v>
      </x:c>
      <x:c r="F45" s="26" t="n">
        <x:v>14</x:v>
      </x:c>
      <x:c r="G45" s="26" t="str">
        <x:v>remaining ACC / AI / Shared / SYSTEM</x:v>
      </x:c>
      <x:c r="H45" s="26" t="str">
        <x:v>ABSENT</x:v>
      </x:c>
      <x:c r="I45" s="26" t="str">
        <x:v>源码执行/验证</x:v>
      </x:c>
      <x:c r="J45" s="26" t="str">
        <x:v>独立验证 ACC-04 的真实用户任务，从 App action 到 API/Permission/Canonical/Evidence/result/Return，不以“页面能渲染”作为完成。</x:v>
      </x:c>
      <x:c r="K45" s="26" t="str">
        <x:v>ACC-04 Spec acceptance IDs；Flutter tests；backend tests；runtime/E2E harness；真实/隔离数据按 tier 使用。</x:v>
      </x:c>
      <x:c r="L45" s="26" t="str">
        <x:v>只补测试、测试辅助与明确 bug fix；若发现实现问题回修本 screen owner。</x:v>
      </x:c>
      <x:c r="M45" s="26" t="str">
        <x:v>禁止降低 assertion；禁止 screenshot 自证；禁止把 excluded/quarantine 当 PASS；禁止 fixture 代替 live claim。</x:v>
      </x:c>
      <x:c r="N45" s="26" t="str">
        <x:v>Widget/API/integration 至少全绿；关键 responsive widths；blocked/error/retry/Trace/Return；需要 live 的标为 LIVE_VERIFIED 或明确未验证。</x:v>
      </x:c>
      <x:c r="O45" s="26" t="str">
        <x:v>cd app &amp;&amp; flutter analyze &amp;&amp; flutter test ; python -m pytest tests/test_experience_runtime.py tests/test_experience_e2e_candidate.py -q ; python scripts/audit_tools/verify_experience_authority_exclusi ve.py ; python scripts/audit_tools/verify_experience_anti_template.py --strict ; python scripts/audit_tools/verify_experience_screen_blueprints.py</x:v>
      </x:c>
    </x:row>
    <x:row r="46" ht="42" customHeight="1">
      <x:c r="A46" s="26" t="n">
        <x:v>52</x:v>
      </x:c>
      <x:c r="B46" s="26" t="n">
        <x:v>42</x:v>
      </x:c>
      <x:c r="C46" s="26" t="str">
        <x:v>SOL-041</x:v>
      </x:c>
      <x:c r="D46" s="26" t="str">
        <x:v>SOL</x:v>
      </x:c>
      <x:c r="E46" s="26" t="str">
        <x:v>CTH-01｜商业运营总览：Screen Spec 闭合</x:v>
      </x:c>
      <x:c r="F46" s="26" t="n">
        <x:v>9</x:v>
      </x:c>
      <x:c r="G46" s="26" t="str">
        <x:v>golden pages / CTH-02</x:v>
      </x:c>
      <x:c r="H46" s="26" t="str">
        <x:v>PARTIAL</x:v>
      </x:c>
      <x:c r="I46" s="26" t="str">
        <x:v>产品判断/验收</x:v>
      </x:c>
      <x:c r="J46" s="26" t="str">
        <x:v>把 CTH-01 的用户问题、entry/return、PC/mobile composition、真实 fields/actions、state matrix、permission/evidence、acceptance 全部收敛成可施工 Spec。</x:v>
      </x:c>
      <x:c r="K46" s="26" t="str">
        <x:v>Experience Constitution §36 CTH-01 blueprint；contracts/experience/screens/CTH-01/；binding registry；BACKEND-GAP-005,006,007；当前 source owner/caller/tests。</x:v>
      </x:c>
      <x:c r="L46" s="26" t="str">
        <x:v>只更新/审核 contracts/experience/screen-specifications/&lt;ID&gt;.md 与必要 binding ledger；产品架构不变。</x:v>
      </x:c>
      <x:c r="M46" s="26" t="str">
        <x:v>禁止从 fixture 推断 production；UNKNOWN owner/API/permission/lineage 必须阻塞相应行为；禁止画成通用 dashboard。</x:v>
      </x:c>
      <x:c r="N46" s="26" t="str">
        <x:v>Spec 明确：Subject 锚定运营台：指标脊柱、时间信号、Event/Evidence 焦点、Decision/Action 入口。；主操作：选择时间变化 → 看来源 → 进入 Case/Decision → Trace/Return。；移动：一个活动信号 + Evidence 抽 屉 + 上下文 Action。；所有字段/动作有 source 或明确 BLOCKED。</x:v>
      </x:c>
      <x:c r="O46" s="26" t="str">
        <x:v>python scripts/audit_tools/verify_experience_screen_blueprints.py；人工核对 Spec 10 sections 完整，产品 owner approval 记录清楚。</x:v>
      </x:c>
    </x:row>
    <x:row r="47" ht="42" customHeight="1">
      <x:c r="A47" s="26" t="n">
        <x:v>53</x:v>
      </x:c>
      <x:c r="B47" s="26" t="n">
        <x:v>43</x:v>
      </x:c>
      <x:c r="C47" s="26" t="str">
        <x:v>LUNA-042</x:v>
      </x:c>
      <x:c r="D47" s="26" t="str">
        <x:v>LUNA</x:v>
      </x:c>
      <x:c r="E47" s="26" t="str">
        <x:v>CTH-01｜商业运营总览：Backend / Binding 闭合</x:v>
      </x:c>
      <x:c r="F47" s="26" t="n">
        <x:v>9</x:v>
      </x:c>
      <x:c r="G47" s="26" t="str">
        <x:v>golden pages / CTH-02</x:v>
      </x:c>
      <x:c r="H47" s="26" t="str">
        <x:v>PARTIAL</x:v>
      </x:c>
      <x:c r="I47" s="26" t="str">
        <x:v>源码执行/验证</x:v>
      </x:c>
      <x:c r="J47" s="26" t="str">
        <x:v>仅关闭 CTH-01 依赖的真实后端 binding：复用 canonical owner，把 scope/Permission/Evidence/state 绑定完整；不做 UI。</x:v>
      </x:c>
      <x:c r="K47" s="26" t="str">
        <x:v>已批准 CTH-01 Screen Spec；BACKEND_GAP rows 005/006/007；当前 owner/caller/tests；binding registry。</x:v>
      </x:c>
      <x:c r="L47" s="26" t="str">
        <x:v>只改对应 canonical owner、最小 API/ViewModel adapter、contracts 与 targeted tests。</x:v>
      </x:c>
      <x:c r="M47" s="26" t="str">
        <x:v>禁止创建平行 DB/Evidence/Permission/Collector/AI owner；禁止 mock success；禁止 unscoped global data；禁止改 UI composition。</x:v>
      </x:c>
      <x:c r="N47" s="26" t="str">
        <x:v>给 KPI/Event/Insight 绑定可信 Subject、freshness 与 Evidence；外部客流/销售缺失保持 NOT_COLLECTED。；成功/空/未采集/离线/拒绝/错误可区分；binding registry 有当前 source evidence；acceptance 仍需 UI/E2 E。</x:v>
      </x:c>
      <x:c r="O47" s="26" t="str">
        <x:v>python -m pytest tests/test_experience_runtime.py tests/test_experience_e2e_candidate.py -q tests/test_domain_context.py -q</x:v>
      </x:c>
    </x:row>
    <x:row r="48" ht="42" customHeight="1">
      <x:c r="A48" s="26" t="n">
        <x:v>54</x:v>
      </x:c>
      <x:c r="B48" s="26" t="n">
        <x:v>44</x:v>
      </x:c>
      <x:c r="C48" s="26" t="str">
        <x:v>LUNA-043</x:v>
      </x:c>
      <x:c r="D48" s="26" t="str">
        <x:v>LUNA</x:v>
      </x:c>
      <x:c r="E48" s="26" t="str">
        <x:v>CTH-01｜商业运营总览：App UI / UX 实现</x:v>
      </x:c>
      <x:c r="F48" s="26" t="n">
        <x:v>9</x:v>
      </x:c>
      <x:c r="G48" s="26" t="str">
        <x:v>golden pages / CTH-02</x:v>
      </x:c>
      <x:c r="H48" s="26" t="str">
        <x:v>PARTIAL</x:v>
      </x:c>
      <x:c r="I48" s="26" t="str">
        <x:v>源码执行/验证</x:v>
      </x:c>
      <x:c r="J48" s="26" t="str">
        <x:v>在 backend contract 已可信后，实现 CTH-01 的 purpose-built Flutter Experience。用户只看到任务、内容、结果与操 作，系统内部 owner/tool/evidence contract 退到产品背后。</x:v>
      </x:c>
      <x:c r="K48" s="26" t="str">
        <x:v>已批准 CTH-01 Spec；typed ViewModel/API；Experience Constitution；shared primitives whitelist；本页草图。</x:v>
      </x:c>
      <x:c r="L48" s="26" t="str">
        <x:v>仅 app/lib/features/cth/cth01/** + app/test/features/cth/cth01/**；必要时只复用已批准 shared primitives。</x:v>
      </x:c>
      <x:c r="M48" s="26" t="str">
        <x:v>禁止 generic renderer / Bento / KPI wall / SaaS dashboard / 换标题复用；禁止改 backend truth；禁止假数据；禁止 PC 缩放成 mobile。</x:v>
      </x:c>
      <x:c r="N48" s="26" t="str">
        <x:v>PC 与 mobile 均表达：Subject 锚定运营台：指标脊柱、时间信号、Event/Evidence 焦点、Decision/Action 入口。；主交 互完成：选择时间变化 → 看来源 → 进入 Case/Decision → Trace/Return。；mobile 重组：一个活动信号 + Evidence 抽屉 + 上下文 Action。；状态/Trace/Return/keyboard/touch/semantics 完整。</x:v>
      </x:c>
      <x:c r="O48" s="26" t="str">
        <x:v>cd app &amp;&amp; flutter analyze &amp;&amp; flutter test ; python scripts/audit_tools/verify_experience_anti_template.py --st rict</x:v>
      </x:c>
    </x:row>
    <x:row r="49" ht="42" customHeight="1">
      <x:c r="A49" s="26" t="n">
        <x:v>55</x:v>
      </x:c>
      <x:c r="B49" s="26" t="n">
        <x:v>45</x:v>
      </x:c>
      <x:c r="C49" s="26" t="str">
        <x:v>LUNA-044</x:v>
      </x:c>
      <x:c r="D49" s="26" t="str">
        <x:v>LUNA</x:v>
      </x:c>
      <x:c r="E49" s="26" t="str">
        <x:v>CTH-01｜商业运营总览：Acceptance / E2E 证据</x:v>
      </x:c>
      <x:c r="F49" s="26" t="n">
        <x:v>9</x:v>
      </x:c>
      <x:c r="G49" s="26" t="str">
        <x:v>golden pages / CTH-02</x:v>
      </x:c>
      <x:c r="H49" s="26" t="str">
        <x:v>PARTIAL</x:v>
      </x:c>
      <x:c r="I49" s="26" t="str">
        <x:v>源码执行/验证</x:v>
      </x:c>
      <x:c r="J49" s="26" t="str">
        <x:v>独立验证 CTH-01 的真实用户任务，从 App action 到 API/Permission/Canonical/Evidence/result/Return，不以“页面能渲染”作为完成。</x:v>
      </x:c>
      <x:c r="K49" s="26" t="str">
        <x:v>CTH-01 Spec acceptance IDs；Flutter tests；backend tests；runtime/E2E harness；真实/隔离数据按 tier 使用。</x:v>
      </x:c>
      <x:c r="L49" s="26" t="str">
        <x:v>只补测试、测试辅助与明确 bug fix；若发现实现问题回修本 screen owner。</x:v>
      </x:c>
      <x:c r="M49" s="26" t="str">
        <x:v>禁止降低 assertion；禁止 screenshot 自证；禁止把 excluded/quarantine 当 PASS；禁止 fixture 代替 live claim。</x:v>
      </x:c>
      <x:c r="N49" s="26" t="str">
        <x:v>Widget/API/integration 至少全绿；关键 responsive widths；blocked/error/retry/Trace/Return；需要 live 的标为 LIVE_VERIFIED 或明确未验证。</x:v>
      </x:c>
      <x:c r="O49" s="26" t="str">
        <x:v>cd app &amp;&amp; flutter analyze &amp;&amp; flutter test ; python -m pytest tests/test_experience_runtime.py tests/test_experience_e2e_candidate.py -q tests/test_domain_context.py -q ; python scripts/audit_tools/ver ify_experience_authority_exclusive.py ; python scripts/audit_tools/verify_experience_anti_template.py --strict ; python scripts/audit_tools/verify_experience_screen_blueprints.py</x:v>
      </x:c>
    </x:row>
    <x:row r="50" ht="42" customHeight="1">
      <x:c r="A50" s="26" t="n">
        <x:v>56</x:v>
      </x:c>
      <x:c r="B50" s="26" t="n">
        <x:v>46</x:v>
      </x:c>
      <x:c r="C50" s="26" t="str">
        <x:v>SOL-045</x:v>
      </x:c>
      <x:c r="D50" s="26" t="str">
        <x:v>SOL</x:v>
      </x:c>
      <x:c r="E50" s="26" t="str">
        <x:v>CTH-02｜经营主体与关联信息：Screen Spec 闭合</x:v>
      </x:c>
      <x:c r="F50" s="26" t="n">
        <x:v>9</x:v>
      </x:c>
      <x:c r="G50" s="26" t="str">
        <x:v>golden pages / CTH-02</x:v>
      </x:c>
      <x:c r="H50" s="26" t="str">
        <x:v>PARTIAL</x:v>
      </x:c>
      <x:c r="I50" s="26" t="str">
        <x:v>产品判断/验收</x:v>
      </x:c>
      <x:c r="J50" s="26" t="str">
        <x:v>把 CTH-02 的用户问题、entry/return、PC/mobile composition、真实 fields/actions、state matrix、permission/evidence、acceptance 全部收敛成可施工 Spec。</x:v>
      </x:c>
      <x:c r="K50" s="26" t="str">
        <x:v>Experience Constitution §36 CTH-02 blueprint；contracts/experience/screens/CTH-02/；binding registry；BACKEND-GAP-008；当前 source owner/caller/tests。</x:v>
      </x:c>
      <x:c r="L50" s="26" t="str">
        <x:v>只更新/审核 contracts/experience/screen-specifications/&lt;ID&gt;.md 与必要 binding ledger；产品架构不变。</x:v>
      </x:c>
      <x:c r="M50" s="26" t="str">
        <x:v>禁止从 fixture 推断 production；UNKNOWN owner/API/permission/lineage 必须阻塞相应行为；禁止画成通用 dashboard。</x:v>
      </x:c>
      <x:c r="N50" s="26" t="str">
        <x:v>Spec 明确：Subject → 业务单元 → 品牌/业态的关系层级；目录选择与业务授权分离。；主操作：展开关系看 provenance；切换 Subject 只能走授权 context control。；移动：面包屑层级 + 单关系焦点。；所有字段/动 作有 source 或明确 BLOCKED。</x:v>
      </x:c>
      <x:c r="O50" s="26" t="str">
        <x:v>python scripts/audit_tools/verify_experience_screen_blueprints.py；人工核对 Spec 10 sections 完整，产品 owner approval 记录清楚。</x:v>
      </x:c>
    </x:row>
    <x:row r="51" ht="42" customHeight="1">
      <x:c r="A51" s="26" t="n">
        <x:v>57</x:v>
      </x:c>
      <x:c r="B51" s="26" t="n">
        <x:v>47</x:v>
      </x:c>
      <x:c r="C51" s="26" t="str">
        <x:v>LUNA-046</x:v>
      </x:c>
      <x:c r="D51" s="26" t="str">
        <x:v>LUNA</x:v>
      </x:c>
      <x:c r="E51" s="26" t="str">
        <x:v>CTH-02｜经营主体与关联信息：Backend / Binding 闭合</x:v>
      </x:c>
      <x:c r="F51" s="26" t="n">
        <x:v>9</x:v>
      </x:c>
      <x:c r="G51" s="26" t="str">
        <x:v>golden pages / CTH-02</x:v>
      </x:c>
      <x:c r="H51" s="26" t="str">
        <x:v>PARTIAL</x:v>
      </x:c>
      <x:c r="I51" s="26" t="str">
        <x:v>源码执行/验证</x:v>
      </x:c>
      <x:c r="J51" s="26" t="str">
        <x:v>仅关闭 CTH-02 依赖的真实后端 binding：复用 canonical owner，把 scope/Permission/Evidence/state 绑定完整；不做 UI。</x:v>
      </x:c>
      <x:c r="K51" s="26" t="str">
        <x:v>已批准 CTH-02 Screen Spec；BACKEND_GAP rows 008；当前 owner/caller/tests；binding registry。</x:v>
      </x:c>
      <x:c r="L51" s="26" t="str">
        <x:v>只改对应 canonical owner、最小 API/ViewModel adapter、contracts 与 targeted tests。</x:v>
      </x:c>
      <x:c r="M51" s="26" t="str">
        <x:v>禁止创建平行 DB/Evidence/Permission/Collector/AI owner；禁止 mock success；禁止 unscoped global data；禁止改 UI composition。</x:v>
      </x:c>
      <x:c r="N51" s="26" t="str">
        <x:v>当前仅 selection-only directory 可用；完整 profile/关系必须找到 canonical owner + Evidence 后再开放。；成功/空/未采集/离线/拒绝/错误可区分；binding registry 有当前 source evidence；acceptance 仍需 UI/ E2E。</x:v>
      </x:c>
      <x:c r="O51" s="26" t="str">
        <x:v>python -m pytest tests/test_experience_runtime.py tests/test_experience_e2e_candidate.py -q tests/test_domain_context.py -q</x:v>
      </x:c>
    </x:row>
    <x:row r="52" ht="42" customHeight="1">
      <x:c r="A52" s="26" t="n">
        <x:v>58</x:v>
      </x:c>
      <x:c r="B52" s="26" t="n">
        <x:v>48</x:v>
      </x:c>
      <x:c r="C52" s="26" t="str">
        <x:v>LUNA-047</x:v>
      </x:c>
      <x:c r="D52" s="26" t="str">
        <x:v>LUNA</x:v>
      </x:c>
      <x:c r="E52" s="26" t="str">
        <x:v>CTH-02｜经营主体与关联信息：App UI / UX 实现</x:v>
      </x:c>
      <x:c r="F52" s="26" t="n">
        <x:v>9</x:v>
      </x:c>
      <x:c r="G52" s="26" t="str">
        <x:v>golden pages / CTH-02</x:v>
      </x:c>
      <x:c r="H52" s="26" t="str">
        <x:v>PARTIAL</x:v>
      </x:c>
      <x:c r="I52" s="26" t="str">
        <x:v>源码执行/验证</x:v>
      </x:c>
      <x:c r="J52" s="26" t="str">
        <x:v>在 backend contract 已可信后，实现 CTH-02 的 purpose-built Flutter Experience。用户只看到任务、内容、结果与操 作，系统内部 owner/tool/evidence contract 退到产品背后。</x:v>
      </x:c>
      <x:c r="K52" s="26" t="str">
        <x:v>已批准 CTH-02 Spec；typed ViewModel/API；Experience Constitution；shared primitives whitelist；本页草图。</x:v>
      </x:c>
      <x:c r="L52" s="26" t="str">
        <x:v>仅 app/lib/features/cth/cth02/** + app/test/features/cth/**；必要时只复用已批准 shared primitives。</x:v>
      </x:c>
      <x:c r="M52" s="26" t="str">
        <x:v>禁止 generic renderer / Bento / KPI wall / SaaS dashboard / 换标题复用；禁止改 backend truth；禁止假数据；禁止 PC 缩放成 mobile。</x:v>
      </x:c>
      <x:c r="N52" s="26" t="str">
        <x:v>PC 与 mobile 均表达：Subject → 业务单元 → 品牌/业态的关系层级；目录选择与业务授权分离。；主交互完成：展开关 系看 provenance；切换 Subject 只能走授权 context control。；mobile 重组：面包屑层级 + 单关系焦点。；状态/Trace /Return/keyboard/touch/semantics 完整。</x:v>
      </x:c>
      <x:c r="O52" s="26" t="str">
        <x:v>cd app &amp;&amp; flutter analyze &amp;&amp; flutter test ; python scripts/audit_tools/verify_experience_anti_template.py --st rict</x:v>
      </x:c>
    </x:row>
    <x:row r="53" ht="42" customHeight="1">
      <x:c r="A53" s="26" t="n">
        <x:v>59</x:v>
      </x:c>
      <x:c r="B53" s="26" t="n">
        <x:v>49</x:v>
      </x:c>
      <x:c r="C53" s="26" t="str">
        <x:v>LUNA-048</x:v>
      </x:c>
      <x:c r="D53" s="26" t="str">
        <x:v>LUNA</x:v>
      </x:c>
      <x:c r="E53" s="26" t="str">
        <x:v>CTH-02｜经营主体与关联信息：Acceptance / E2E 证据</x:v>
      </x:c>
      <x:c r="F53" s="26" t="n">
        <x:v>9</x:v>
      </x:c>
      <x:c r="G53" s="26" t="str">
        <x:v>golden pages / CTH-02</x:v>
      </x:c>
      <x:c r="H53" s="26" t="str">
        <x:v>PARTIAL</x:v>
      </x:c>
      <x:c r="I53" s="26" t="str">
        <x:v>源码执行/验证</x:v>
      </x:c>
      <x:c r="J53" s="26" t="str">
        <x:v>独立验证 CTH-02 的真实用户任务，从 App action 到 API/Permission/Canonical/Evidence/result/Return，不以“页面能渲染”作为完成。</x:v>
      </x:c>
      <x:c r="K53" s="26" t="str">
        <x:v>CTH-02 Spec acceptance IDs；Flutter tests；backend tests；runtime/E2E harness；真实/隔离数据按 tier 使用。</x:v>
      </x:c>
      <x:c r="L53" s="26" t="str">
        <x:v>只补测试、测试辅助与明确 bug fix；若发现实现问题回修本 screen owner。</x:v>
      </x:c>
      <x:c r="M53" s="26" t="str">
        <x:v>禁止降低 assertion；禁止 screenshot 自证；禁止把 excluded/quarantine 当 PASS；禁止 fixture 代替 live claim。</x:v>
      </x:c>
      <x:c r="N53" s="26" t="str">
        <x:v>Widget/API/integration 至少全绿；关键 responsive widths；blocked/error/retry/Trace/Return；需要 live 的标为 LIVE_VERIFIED 或明确未验证。</x:v>
      </x:c>
      <x:c r="O53" s="26" t="str">
        <x:v>cd app &amp;&amp; flutter analyze &amp;&amp; flutter test ; python -m pytest tests/test_experience_runtime.py tests/test_experience_e2e_candidate.py -q tests/test_domain_context.py -q ; python scripts/audit_tools/ver ify_experience_authority_exclusive.py ; python scripts/audit_tools/verify_experience_anti_template.py --strict ; python scripts/audit_tools/verify_experience_screen_blueprints.py</x:v>
      </x:c>
    </x:row>
    <x:row r="54" ht="42" customHeight="1">
      <x:c r="A54" s="26" t="n">
        <x:v>60</x:v>
      </x:c>
      <x:c r="B54" s="26" t="n">
        <x:v>50</x:v>
      </x:c>
      <x:c r="C54" s="26" t="str">
        <x:v>SOL-049</x:v>
      </x:c>
      <x:c r="D54" s="26" t="str">
        <x:v>SOL</x:v>
      </x:c>
      <x:c r="E54" s="26" t="str">
        <x:v>CTH-03｜实时监测：Screen Spec 闭合</x:v>
      </x:c>
      <x:c r="F54" s="26" t="n">
        <x:v>10</x:v>
      </x:c>
      <x:c r="G54" s="26" t="str">
        <x:v>CTH monitoring / analysis</x:v>
      </x:c>
      <x:c r="H54" s="26" t="str">
        <x:v>ABSENT</x:v>
      </x:c>
      <x:c r="I54" s="26" t="str">
        <x:v>产品判断/验收</x:v>
      </x:c>
      <x:c r="J54" s="26" t="str">
        <x:v>把 CTH-03 的用户问题、entry/return、PC/mobile composition、真实 fields/actions、state matrix、permission/evidence、acceptance 全部收敛成可施工 Spec。</x:v>
      </x:c>
      <x:c r="K54" s="26" t="str">
        <x:v>Experience Constitution §36 CTH-03 blueprint；contracts/experience/screens/CTH-03/；binding registry；BACKEND-GAP-009；当前 source owner/caller/tests。</x:v>
      </x:c>
      <x:c r="L54" s="26" t="str">
        <x:v>只更新/审核 contracts/experience/screen-specifications/&lt;ID&gt;.md 与必要 binding ledger；产品架构不变。</x:v>
      </x:c>
      <x:c r="M54" s="26" t="str">
        <x:v>禁止从 fixture 推断 production；UNKNOWN owner/API/permission/lineage 必须阻塞相应行为；禁止画成通用 dashboard。</x:v>
      </x:c>
      <x:c r="N54" s="26" t="str">
        <x:v>Spec 明确：以 freshness 时钟、实时/已确认区分、source lanes 与 collector health 构成实时节奏。；主操作：暂停/恢复视图，pin Event，打开 source Evidence。；移动：优先级单流 + 持久 freshness/connection。 ；所有字段/动作有 source 或明确 BLOCKED。</x:v>
      </x:c>
      <x:c r="O54" s="26" t="str">
        <x:v>python scripts/audit_tools/verify_experience_screen_blueprints.py；人工核对 Spec 10 sections 完整，产品 owner approval 记录清楚。</x:v>
      </x:c>
    </x:row>
    <x:row r="55" ht="42" customHeight="1">
      <x:c r="A55" s="26" t="n">
        <x:v>61</x:v>
      </x:c>
      <x:c r="B55" s="26" t="n">
        <x:v>51</x:v>
      </x:c>
      <x:c r="C55" s="26" t="str">
        <x:v>LUNA-050</x:v>
      </x:c>
      <x:c r="D55" s="26" t="str">
        <x:v>LUNA</x:v>
      </x:c>
      <x:c r="E55" s="26" t="str">
        <x:v>CTH-03｜实时监测：Backend / Binding 闭合</x:v>
      </x:c>
      <x:c r="F55" s="26" t="n">
        <x:v>10</x:v>
      </x:c>
      <x:c r="G55" s="26" t="str">
        <x:v>CTH monitoring / analysis</x:v>
      </x:c>
      <x:c r="H55" s="26" t="str">
        <x:v>PARTIAL</x:v>
      </x:c>
      <x:c r="I55" s="26" t="str">
        <x:v>源码执行/验证</x:v>
      </x:c>
      <x:c r="J55" s="26" t="str">
        <x:v>仅关闭 CTH-03 依赖的真实后端 binding：复用 canonical owner，把 scope/Permission/Evidence/state 绑定完整；不做 UI。</x:v>
      </x:c>
      <x:c r="K55" s="26" t="str">
        <x:v>已批准 CTH-03 Screen Spec；BACKEND_GAP rows 009；当前 owner/caller/tests；binding registry。</x:v>
      </x:c>
      <x:c r="L55" s="26" t="str">
        <x:v>只改对应 canonical owner、最小 API/ViewModel adapter、contracts 与 targeted tests。</x:v>
      </x:c>
      <x:c r="M55" s="26" t="str">
        <x:v>禁止创建平行 DB/Evidence/Permission/Collector/AI owner；禁止 mock success；禁止 unscoped global data；禁止改 UI composition。</x:v>
      </x:c>
      <x:c r="N55" s="26" t="str">
        <x:v>复用 verified notes/negative source；补 Subject scope、filter semantics、Evidence link。；成功/空/未采集/离线/拒绝/错误可区分；binding registry 有当前 source evidence；acceptance 仍需 UI/E2E。</x:v>
      </x:c>
      <x:c r="O55" s="26" t="str">
        <x:v>python -m pytest tests/test_experience_runtime.py tests/test_experience_e2e_candidate.py -q tests/test_domain_context.py -q</x:v>
      </x:c>
    </x:row>
    <x:row r="56" ht="42" customHeight="1">
      <x:c r="A56" s="26" t="n">
        <x:v>62</x:v>
      </x:c>
      <x:c r="B56" s="26" t="n">
        <x:v>52</x:v>
      </x:c>
      <x:c r="C56" s="26" t="str">
        <x:v>LUNA-051</x:v>
      </x:c>
      <x:c r="D56" s="26" t="str">
        <x:v>LUNA</x:v>
      </x:c>
      <x:c r="E56" s="26" t="str">
        <x:v>CTH-03｜实时监测：App UI / UX 实现</x:v>
      </x:c>
      <x:c r="F56" s="26" t="n">
        <x:v>10</x:v>
      </x:c>
      <x:c r="G56" s="26" t="str">
        <x:v>CTH monitoring / analysis</x:v>
      </x:c>
      <x:c r="H56" s="26" t="str">
        <x:v>ABSENT</x:v>
      </x:c>
      <x:c r="I56" s="26" t="str">
        <x:v>源码执行/验证</x:v>
      </x:c>
      <x:c r="J56" s="26" t="str">
        <x:v>在 backend contract 已可信后，实现 CTH-03 的 purpose-built Flutter Experience。用户只看到任务、内容、结果与操 作，系统内部 owner/tool/evidence contract 退到产品背后。</x:v>
      </x:c>
      <x:c r="K56" s="26" t="str">
        <x:v>已批准 CTH-03 Spec；typed ViewModel/API；Experience Constitution；shared primitives whitelist；本页草图。</x:v>
      </x:c>
      <x:c r="L56" s="26" t="str">
        <x:v>仅 app/lib/features/cth/**/cth03/** (或 Sol 审核后的同 owner feature slice) + matching app/test/**；必要时只复 用已批准 shared primitives。</x:v>
      </x:c>
      <x:c r="M56" s="26" t="str">
        <x:v>禁止 generic renderer / Bento / KPI wall / SaaS dashboard / 换标题复用；禁止改 backend truth；禁止假数据；禁止 PC 缩放成 mobile。</x:v>
      </x:c>
      <x:c r="N56" s="26" t="str">
        <x:v>PC 与 mobile 均表达：以 freshness 时钟、实时/已确认区分、source lanes 与 collector health 构成实时节奏。；主交 互完成：暂停/恢复视图，pin Event，打开 source Evidence。；mobile 重组：优先级单流 + 持久 freshness/connection 。；状态/Trace/Return/keyboard/touch/semantics 完整。</x:v>
      </x:c>
      <x:c r="O56" s="26" t="str">
        <x:v>cd app &amp;&amp; flutter analyze &amp;&amp; flutter test ; python scripts/audit_tools/verify_experience_anti_template.py --st rict</x:v>
      </x:c>
    </x:row>
    <x:row r="57" ht="42" customHeight="1">
      <x:c r="A57" s="26" t="n">
        <x:v>63</x:v>
      </x:c>
      <x:c r="B57" s="26" t="n">
        <x:v>53</x:v>
      </x:c>
      <x:c r="C57" s="26" t="str">
        <x:v>LUNA-052</x:v>
      </x:c>
      <x:c r="D57" s="26" t="str">
        <x:v>LUNA</x:v>
      </x:c>
      <x:c r="E57" s="26" t="str">
        <x:v>CTH-03｜实时监测：Acceptance / E2E 证据</x:v>
      </x:c>
      <x:c r="F57" s="26" t="n">
        <x:v>10</x:v>
      </x:c>
      <x:c r="G57" s="26" t="str">
        <x:v>CTH monitoring / analysis</x:v>
      </x:c>
      <x:c r="H57" s="26" t="str">
        <x:v>ABSENT</x:v>
      </x:c>
      <x:c r="I57" s="26" t="str">
        <x:v>源码执行/验证</x:v>
      </x:c>
      <x:c r="J57" s="26" t="str">
        <x:v>独立验证 CTH-03 的真实用户任务，从 App action 到 API/Permission/Canonical/Evidence/result/Return，不以“页面能渲染”作为完成。</x:v>
      </x:c>
      <x:c r="K57" s="26" t="str">
        <x:v>CTH-03 Spec acceptance IDs；Flutter tests；backend tests；runtime/E2E harness；真实/隔离数据按 tier 使用。</x:v>
      </x:c>
      <x:c r="L57" s="26" t="str">
        <x:v>只补测试、测试辅助与明确 bug fix；若发现实现问题回修本 screen owner。</x:v>
      </x:c>
      <x:c r="M57" s="26" t="str">
        <x:v>禁止降低 assertion；禁止 screenshot 自证；禁止把 excluded/quarantine 当 PASS；禁止 fixture 代替 live claim。</x:v>
      </x:c>
      <x:c r="N57" s="26" t="str">
        <x:v>Widget/API/integration 至少全绿；关键 responsive widths；blocked/error/retry/Trace/Return；需要 live 的标为 LIVE_VERIFIED 或明确未验证。</x:v>
      </x:c>
      <x:c r="O57" s="26" t="str">
        <x:v>cd app &amp;&amp; flutter analyze &amp;&amp; flutter test ; python -m pytest tests/test_experience_runtime.py tests/test_experience_e2e_candidate.py -q tests/test_domain_context.py -q ; python scripts/audit_tools/ver ify_experience_authority_exclusive.py ; python scripts/audit_tools/verify_experience_anti_template.py --strict ; python scripts/audit_tools/verify_experience_screen_blueprints.py</x:v>
      </x:c>
    </x:row>
    <x:row r="58" ht="42" customHeight="1">
      <x:c r="A58" s="26" t="n">
        <x:v>64</x:v>
      </x:c>
      <x:c r="B58" s="26" t="n">
        <x:v>54</x:v>
      </x:c>
      <x:c r="C58" s="26" t="str">
        <x:v>SOL-053</x:v>
      </x:c>
      <x:c r="D58" s="26" t="str">
        <x:v>SOL</x:v>
      </x:c>
      <x:c r="E58" s="26" t="str">
        <x:v>CTH-04｜事件关系：Screen Spec 闭合</x:v>
      </x:c>
      <x:c r="F58" s="26" t="n">
        <x:v>10</x:v>
      </x:c>
      <x:c r="G58" s="26" t="str">
        <x:v>CTH monitoring / analysis</x:v>
      </x:c>
      <x:c r="H58" s="26" t="str">
        <x:v>ABSENT</x:v>
      </x:c>
      <x:c r="I58" s="26" t="str">
        <x:v>产品判断/验收</x:v>
      </x:c>
      <x:c r="J58" s="26" t="str">
        <x:v>把 CTH-04 的用户问题、entry/return、PC/mobile composition、真实 fields/actions、state matrix、permission/evidence、acceptance 全部收敛成可施工 Spec。</x:v>
      </x:c>
      <x:c r="K58" s="26" t="str">
        <x:v>Experience Constitution §36 CTH-04 blueprint；contracts/experience/screens/CTH-04/；binding registry；BACKEND-GAP-010；当前 source owner/caller/tests。</x:v>
      </x:c>
      <x:c r="L58" s="26" t="str">
        <x:v>只更新/审核 contracts/experience/screen-specifications/&lt;ID&gt;.md 与必要 binding ledger；产品架构不变。</x:v>
      </x:c>
      <x:c r="M58" s="26" t="str">
        <x:v>禁止从 fixture 推断 production；UNKNOWN owner/API/permission/lineage 必须阻塞相应行为；禁止画成通用 dashboard。</x:v>
      </x:c>
      <x:c r="N58" s="26" t="str">
        <x:v>Spec 明确：事件因果星图 + 时间轴；节点表达 Event/Case/Evidence 关系，而不是卡片列表。；主操作：选节点 → Evidence/Case → Return 回同一图位置。；移动：纵向事件路径 + Evidence 节点，保存 zoom/focus。； 所有字段/动作有 source 或明确 BLOCKED。</x:v>
      </x:c>
      <x:c r="O58" s="26" t="str">
        <x:v>python scripts/audit_tools/verify_experience_screen_blueprints.py；人工核对 Spec 10 sections 完整，产品 owner approval 记录清楚。</x:v>
      </x:c>
    </x:row>
    <x:row r="59" ht="42" customHeight="1">
      <x:c r="A59" s="26" t="n">
        <x:v>65</x:v>
      </x:c>
      <x:c r="B59" s="26" t="n">
        <x:v>55</x:v>
      </x:c>
      <x:c r="C59" s="26" t="str">
        <x:v>LUNA-054</x:v>
      </x:c>
      <x:c r="D59" s="26" t="str">
        <x:v>LUNA</x:v>
      </x:c>
      <x:c r="E59" s="26" t="str">
        <x:v>CTH-04｜事件关系：Backend / Binding 闭合</x:v>
      </x:c>
      <x:c r="F59" s="26" t="n">
        <x:v>10</x:v>
      </x:c>
      <x:c r="G59" s="26" t="str">
        <x:v>CTH monitoring / analysis</x:v>
      </x:c>
      <x:c r="H59" s="26" t="str">
        <x:v>PARTIAL</x:v>
      </x:c>
      <x:c r="I59" s="26" t="str">
        <x:v>源码执行/验证</x:v>
      </x:c>
      <x:c r="J59" s="26" t="str">
        <x:v>仅关闭 CTH-04 依赖的真实后端 binding：复用 canonical owner，把 scope/Permission/Evidence/state 绑定完整；不做 UI。</x:v>
      </x:c>
      <x:c r="K59" s="26" t="str">
        <x:v>已批准 CTH-04 Screen Spec；BACKEND_GAP rows 010；当前 owner/caller/tests；binding registry。</x:v>
      </x:c>
      <x:c r="L59" s="26" t="str">
        <x:v>只改对应 canonical owner、最小 API/ViewModel adapter、contracts 与 targeted tests。</x:v>
      </x:c>
      <x:c r="M59" s="26" t="str">
        <x:v>禁止创建平行 DB/Evidence/Permission/Collector/AI owner；禁止 mock success；禁止 unscoped global data；禁止改 UI composition。</x:v>
      </x:c>
      <x:c r="N59" s="26" t="str">
        <x:v>当前事件存在但真实关系 edge 未供应；先验证 canonical edge owner 与 Evidence。；成功/空/未采集/离线/拒绝/错误可区分；binding registry 有当前 source evidence；acceptance 仍需 UI/E2E。</x:v>
      </x:c>
      <x:c r="O59" s="26" t="str">
        <x:v>python -m pytest tests/test_experience_runtime.py tests/test_experience_e2e_candidate.py -q tests/test_domain_context.py -q</x:v>
      </x:c>
    </x:row>
    <x:row r="60" ht="42" customHeight="1">
      <x:c r="A60" s="26" t="n">
        <x:v>66</x:v>
      </x:c>
      <x:c r="B60" s="26" t="n">
        <x:v>56</x:v>
      </x:c>
      <x:c r="C60" s="26" t="str">
        <x:v>LUNA-055</x:v>
      </x:c>
      <x:c r="D60" s="26" t="str">
        <x:v>LUNA</x:v>
      </x:c>
      <x:c r="E60" s="26" t="str">
        <x:v>CTH-04｜事件关系：App UI / UX 实现</x:v>
      </x:c>
      <x:c r="F60" s="26" t="n">
        <x:v>10</x:v>
      </x:c>
      <x:c r="G60" s="26" t="str">
        <x:v>CTH monitoring / analysis</x:v>
      </x:c>
      <x:c r="H60" s="26" t="str">
        <x:v>ABSENT</x:v>
      </x:c>
      <x:c r="I60" s="26" t="str">
        <x:v>源码执行/验证</x:v>
      </x:c>
      <x:c r="J60" s="26" t="str">
        <x:v>在 backend contract 已可信后，实现 CTH-04 的 purpose-built Flutter Experience。用户只看到任务、内容、结果与操 作，系统内部 owner/tool/evidence contract 退到产品背后。</x:v>
      </x:c>
      <x:c r="K60" s="26" t="str">
        <x:v>已批准 CTH-04 Spec；typed ViewModel/API；Experience Constitution；shared primitives whitelist；本页草图。</x:v>
      </x:c>
      <x:c r="L60" s="26" t="str">
        <x:v>仅 app/lib/features/cth/**/cth04/** (或 Sol 审核后的同 owner feature slice) + matching app/test/**；必要时只复 用已批准 shared primitives。</x:v>
      </x:c>
      <x:c r="M60" s="26" t="str">
        <x:v>禁止 generic renderer / Bento / KPI wall / SaaS dashboard / 换标题复用；禁止改 backend truth；禁止假数据；禁止 PC 缩放成 mobile。</x:v>
      </x:c>
      <x:c r="N60" s="26" t="str">
        <x:v>PC 与 mobile 均表达：事件因果星图 + 时间轴；节点表达 Event/Case/Evidence 关系，而不是卡片列表。；主交互完成： 选节点 → Evidence/Case → Return 回同一图位置。；mobile 重组：纵向事件路径 + Evidence 节点，保存 zoom/focus。 ；状态/Trace/Return/keyboard/touch/semantics 完整。</x:v>
      </x:c>
      <x:c r="O60" s="26" t="str">
        <x:v>cd app &amp;&amp; flutter analyze &amp;&amp; flutter test ; python scripts/audit_tools/verify_experience_anti_template.py --st rict</x:v>
      </x:c>
    </x:row>
    <x:row r="61" ht="42" customHeight="1">
      <x:c r="A61" s="26" t="n">
        <x:v>67</x:v>
      </x:c>
      <x:c r="B61" s="26" t="n">
        <x:v>57</x:v>
      </x:c>
      <x:c r="C61" s="26" t="str">
        <x:v>LUNA-056</x:v>
      </x:c>
      <x:c r="D61" s="26" t="str">
        <x:v>LUNA</x:v>
      </x:c>
      <x:c r="E61" s="26" t="str">
        <x:v>CTH-04｜事件关系：Acceptance / E2E 证据</x:v>
      </x:c>
      <x:c r="F61" s="26" t="n">
        <x:v>10</x:v>
      </x:c>
      <x:c r="G61" s="26" t="str">
        <x:v>CTH monitoring / analysis</x:v>
      </x:c>
      <x:c r="H61" s="26" t="str">
        <x:v>ABSENT</x:v>
      </x:c>
      <x:c r="I61" s="26" t="str">
        <x:v>源码执行/验证</x:v>
      </x:c>
      <x:c r="J61" s="26" t="str">
        <x:v>独立验证 CTH-04 的真实用户任务，从 App action 到 API/Permission/Canonical/Evidence/result/Return，不以“页面能渲染”作为完成。</x:v>
      </x:c>
      <x:c r="K61" s="26" t="str">
        <x:v>CTH-04 Spec acceptance IDs；Flutter tests；backend tests；runtime/E2E harness；真实/隔离数据按 tier 使用。</x:v>
      </x:c>
      <x:c r="L61" s="26" t="str">
        <x:v>只补测试、测试辅助与明确 bug fix；若发现实现问题回修本 screen owner。</x:v>
      </x:c>
      <x:c r="M61" s="26" t="str">
        <x:v>禁止降低 assertion；禁止 screenshot 自证；禁止把 excluded/quarantine 当 PASS；禁止 fixture 代替 live claim。</x:v>
      </x:c>
      <x:c r="N61" s="26" t="str">
        <x:v>Widget/API/integration 至少全绿；关键 responsive widths；blocked/error/retry/Trace/Return；需要 live 的标为 LIVE_VERIFIED 或明确未验证。</x:v>
      </x:c>
      <x:c r="O61" s="26" t="str">
        <x:v>cd app &amp;&amp; flutter analyze &amp;&amp; flutter test ; python -m pytest tests/test_experience_runtime.py tests/test_experience_e2e_candidate.py -q tests/test_domain_context.py -q ; python scripts/audit_tools/ver ify_experience_authority_exclusive.py ; python scripts/audit_tools/verify_experience_anti_template.py --strict ; python scripts/audit_tools/verify_experience_screen_blueprints.py</x:v>
      </x:c>
    </x:row>
    <x:row r="62" ht="42" customHeight="1">
      <x:c r="A62" s="26" t="n">
        <x:v>68</x:v>
      </x:c>
      <x:c r="B62" s="26" t="n">
        <x:v>58</x:v>
      </x:c>
      <x:c r="C62" s="26" t="str">
        <x:v>SOL-057</x:v>
      </x:c>
      <x:c r="D62" s="26" t="str">
        <x:v>SOL</x:v>
      </x:c>
      <x:c r="E62" s="26" t="str">
        <x:v>CTH-05｜情绪日历：Screen Spec 闭合</x:v>
      </x:c>
      <x:c r="F62" s="26" t="n">
        <x:v>10</x:v>
      </x:c>
      <x:c r="G62" s="26" t="str">
        <x:v>CTH monitoring / analysis</x:v>
      </x:c>
      <x:c r="H62" s="26" t="str">
        <x:v>ABSENT</x:v>
      </x:c>
      <x:c r="I62" s="26" t="str">
        <x:v>产品判断/验收</x:v>
      </x:c>
      <x:c r="J62" s="26" t="str">
        <x:v>把 CTH-05 的用户问题、entry/return、PC/mobile composition、真实 fields/actions、state matrix、permission/evidence、acceptance 全部收敛成可施工 Spec。</x:v>
      </x:c>
      <x:c r="K62" s="26" t="str">
        <x:v>Experience Constitution §36 CTH-05 blueprint；contracts/experience/screens/CTH-05/；binding registry；BACKEND-GAP-011；当前 source owner/caller/tests。</x:v>
      </x:c>
      <x:c r="L62" s="26" t="str">
        <x:v>只更新/审核 contracts/experience/screen-specifications/&lt;ID&gt;.md 与必要 binding ledger；产品架构不变。</x:v>
      </x:c>
      <x:c r="M62" s="26" t="str">
        <x:v>禁止从 fixture 推断 production；UNKNOWN owner/API/permission/lineage 必须阻塞相应行为；禁止画成通用 dashboard。</x:v>
      </x:c>
      <x:c r="N62" s="26" t="str">
        <x:v>Spec 明确：日历热场表达日期的事件/情绪密度，并明确数据可用性与色阶。；主操作：选日/区间 → 事件与来源；键盘可切 list view。；移动：周/日 agenda + 密度标记 + Evidence 列表。；所有字段/动作有 source 或 明确 BLOCKED。</x:v>
      </x:c>
      <x:c r="O62" s="26" t="str">
        <x:v>python scripts/audit_tools/verify_experience_screen_blueprints.py；人工核对 Spec 10 sections 完整，产品 owner approval 记录清楚。</x:v>
      </x:c>
    </x:row>
    <x:row r="63" ht="42" customHeight="1">
      <x:c r="A63" s="26" t="n">
        <x:v>69</x:v>
      </x:c>
      <x:c r="B63" s="26" t="n">
        <x:v>59</x:v>
      </x:c>
      <x:c r="C63" s="26" t="str">
        <x:v>LUNA-058</x:v>
      </x:c>
      <x:c r="D63" s="26" t="str">
        <x:v>LUNA</x:v>
      </x:c>
      <x:c r="E63" s="26" t="str">
        <x:v>CTH-05｜情绪日历：Backend / Binding 闭合</x:v>
      </x:c>
      <x:c r="F63" s="26" t="n">
        <x:v>10</x:v>
      </x:c>
      <x:c r="G63" s="26" t="str">
        <x:v>CTH monitoring / analysis</x:v>
      </x:c>
      <x:c r="H63" s="26" t="str">
        <x:v>PARTIAL</x:v>
      </x:c>
      <x:c r="I63" s="26" t="str">
        <x:v>源码执行/验证</x:v>
      </x:c>
      <x:c r="J63" s="26" t="str">
        <x:v>仅关闭 CTH-05 依赖的真实后端 binding：复用 canonical owner，把 scope/Permission/Evidence/state 绑定完整；不做 UI。</x:v>
      </x:c>
      <x:c r="K63" s="26" t="str">
        <x:v>已批准 CTH-05 Screen Spec；BACKEND_GAP rows 011；当前 owner/caller/tests；binding registry。</x:v>
      </x:c>
      <x:c r="L63" s="26" t="str">
        <x:v>只改对应 canonical owner、最小 API/ViewModel adapter、contracts 与 targeted tests。</x:v>
      </x:c>
      <x:c r="M63" s="26" t="str">
        <x:v>禁止创建平行 DB/Evidence/Permission/Collector/AI owner；禁止 mock success；禁止 unscoped global data；禁止改 UI composition。</x:v>
      </x:c>
      <x:c r="N63" s="26" t="str">
        <x:v>保留 daily source；修复 read error → 0，逐日绑定 Subject/source record。；成功/空/未采集/离线/拒绝/错误可区分；binding registry 有当前 source evidence；acceptance 仍需 UI/E2E。</x:v>
      </x:c>
      <x:c r="O63" s="26" t="str">
        <x:v>python -m pytest tests/test_experience_runtime.py tests/test_experience_e2e_candidate.py -q tests/test_domain_context.py -q</x:v>
      </x:c>
    </x:row>
    <x:row r="64" ht="42" customHeight="1">
      <x:c r="A64" s="26" t="n">
        <x:v>70</x:v>
      </x:c>
      <x:c r="B64" s="26" t="n">
        <x:v>60</x:v>
      </x:c>
      <x:c r="C64" s="26" t="str">
        <x:v>LUNA-059</x:v>
      </x:c>
      <x:c r="D64" s="26" t="str">
        <x:v>LUNA</x:v>
      </x:c>
      <x:c r="E64" s="26" t="str">
        <x:v>CTH-05｜情绪日历：App UI / UX 实现</x:v>
      </x:c>
      <x:c r="F64" s="26" t="n">
        <x:v>10</x:v>
      </x:c>
      <x:c r="G64" s="26" t="str">
        <x:v>CTH monitoring / analysis</x:v>
      </x:c>
      <x:c r="H64" s="26" t="str">
        <x:v>ABSENT</x:v>
      </x:c>
      <x:c r="I64" s="26" t="str">
        <x:v>源码执行/验证</x:v>
      </x:c>
      <x:c r="J64" s="26" t="str">
        <x:v>在 backend contract 已可信后，实现 CTH-05 的 purpose-built Flutter Experience。用户只看到任务、内容、结果与操 作，系统内部 owner/tool/evidence contract 退到产品背后。</x:v>
      </x:c>
      <x:c r="K64" s="26" t="str">
        <x:v>已批准 CTH-05 Spec；typed ViewModel/API；Experience Constitution；shared primitives whitelist；本页草图。</x:v>
      </x:c>
      <x:c r="L64" s="26" t="str">
        <x:v>仅 app/lib/features/cth/**/cth05/** (或 Sol 审核后的同 owner feature slice) + matching app/test/**；必要时只复 用已批准 shared primitives。</x:v>
      </x:c>
      <x:c r="M64" s="26" t="str">
        <x:v>禁止 generic renderer / Bento / KPI wall / SaaS dashboard / 换标题复用；禁止改 backend truth；禁止假数据；禁止 PC 缩放成 mobile。</x:v>
      </x:c>
      <x:c r="N64" s="26" t="str">
        <x:v>PC 与 mobile 均表达：日历热场表达日期的事件/情绪密度，并明确数据可用性与色阶。；主交互完成：选日/区间 → 事件 与来源；键盘可切 list view。；mobile 重组：周/日 agenda + 密度标记 + Evidence 列表。；状态/Trace/Return/keyboa rd/touch/semantics 完整。</x:v>
      </x:c>
      <x:c r="O64" s="26" t="str">
        <x:v>cd app &amp;&amp; flutter analyze &amp;&amp; flutter test ; python scripts/audit_tools/verify_experience_anti_template.py --st rict</x:v>
      </x:c>
    </x:row>
    <x:row r="65" ht="42" customHeight="1">
      <x:c r="A65" s="26" t="n">
        <x:v>71</x:v>
      </x:c>
      <x:c r="B65" s="26" t="n">
        <x:v>61</x:v>
      </x:c>
      <x:c r="C65" s="26" t="str">
        <x:v>LUNA-060</x:v>
      </x:c>
      <x:c r="D65" s="26" t="str">
        <x:v>LUNA</x:v>
      </x:c>
      <x:c r="E65" s="26" t="str">
        <x:v>CTH-05｜情绪日历：Acceptance / E2E 证据</x:v>
      </x:c>
      <x:c r="F65" s="26" t="n">
        <x:v>10</x:v>
      </x:c>
      <x:c r="G65" s="26" t="str">
        <x:v>CTH monitoring / analysis</x:v>
      </x:c>
      <x:c r="H65" s="26" t="str">
        <x:v>ABSENT</x:v>
      </x:c>
      <x:c r="I65" s="26" t="str">
        <x:v>源码执行/验证</x:v>
      </x:c>
      <x:c r="J65" s="26" t="str">
        <x:v>独立验证 CTH-05 的真实用户任务，从 App action 到 API/Permission/Canonical/Evidence/result/Return，不以“页面能渲染”作为完成。</x:v>
      </x:c>
      <x:c r="K65" s="26" t="str">
        <x:v>CTH-05 Spec acceptance IDs；Flutter tests；backend tests；runtime/E2E harness；真实/隔离数据按 tier 使用。</x:v>
      </x:c>
      <x:c r="L65" s="26" t="str">
        <x:v>只补测试、测试辅助与明确 bug fix；若发现实现问题回修本 screen owner。</x:v>
      </x:c>
      <x:c r="M65" s="26" t="str">
        <x:v>禁止降低 assertion；禁止 screenshot 自证；禁止把 excluded/quarantine 当 PASS；禁止 fixture 代替 live claim。</x:v>
      </x:c>
      <x:c r="N65" s="26" t="str">
        <x:v>Widget/API/integration 至少全绿；关键 responsive widths；blocked/error/retry/Trace/Return；需要 live 的标为 LIVE_VERIFIED 或明确未验证。</x:v>
      </x:c>
      <x:c r="O65" s="26" t="str">
        <x:v>cd app &amp;&amp; flutter analyze &amp;&amp; flutter test ; python -m pytest tests/test_experience_runtime.py tests/test_experience_e2e_candidate.py -q tests/test_domain_context.py -q ; python scripts/audit_tools/ver ify_experience_authority_exclusive.py ; python scripts/audit_tools/verify_experience_anti_template.py --strict ; python scripts/audit_tools/verify_experience_screen_blueprints.py</x:v>
      </x:c>
    </x:row>
    <x:row r="66" ht="42" customHeight="1">
      <x:c r="A66" s="26" t="n">
        <x:v>72</x:v>
      </x:c>
      <x:c r="B66" s="26" t="n">
        <x:v>62</x:v>
      </x:c>
      <x:c r="C66" s="26" t="str">
        <x:v>SOL-061</x:v>
      </x:c>
      <x:c r="D66" s="26" t="str">
        <x:v>SOL</x:v>
      </x:c>
      <x:c r="E66" s="26" t="str">
        <x:v>CTH-06｜负面监测与反馈：Screen Spec 闭合</x:v>
      </x:c>
      <x:c r="F66" s="26" t="n">
        <x:v>10</x:v>
      </x:c>
      <x:c r="G66" s="26" t="str">
        <x:v>CTH monitoring / analysis</x:v>
      </x:c>
      <x:c r="H66" s="26" t="str">
        <x:v>ABSENT</x:v>
      </x:c>
      <x:c r="I66" s="26" t="str">
        <x:v>产品判断/验收</x:v>
      </x:c>
      <x:c r="J66" s="26" t="str">
        <x:v>把 CTH-06 的用户问题、entry/return、PC/mobile composition、真实 fields/actions、state matrix、permission/evidence、acceptance 全部收敛成可施工 Spec。</x:v>
      </x:c>
      <x:c r="K66" s="26" t="str">
        <x:v>Experience Constitution §36 CTH-06 blueprint；contracts/experience/screens/CTH-06/；binding registry；BACKEND-GAP-012；当前 source owner/caller/tests。</x:v>
      </x:c>
      <x:c r="L66" s="26" t="str">
        <x:v>只更新/审核 contracts/experience/screen-specifications/&lt;ID&gt;.md 与必要 binding ledger；产品架构不变。</x:v>
      </x:c>
      <x:c r="M66" s="26" t="str">
        <x:v>禁止从 fixture 推断 production；UNKNOWN owner/API/permission/lineage 必须阻塞相应行为；禁止画成通用 dashboard。</x:v>
      </x:c>
      <x:c r="N66" s="26" t="str">
        <x:v>Spec 明确：将舆情、用户反馈、已确认事件分流为 triage queue；source-first 阅读。；主操作：核验 Source → 分类/关联 Case → 保留原始措辞与 lineage。；移动：Review 卡片栈 + 全屏 source reader。；所有字段 /动作有 source 或明确 BLOCKED。</x:v>
      </x:c>
      <x:c r="O66" s="26" t="str">
        <x:v>python scripts/audit_tools/verify_experience_screen_blueprints.py；人工核对 Spec 10 sections 完整，产品 owner approval 记录清楚。</x:v>
      </x:c>
    </x:row>
    <x:row r="67" ht="42" customHeight="1">
      <x:c r="A67" s="26" t="n">
        <x:v>73</x:v>
      </x:c>
      <x:c r="B67" s="26" t="n">
        <x:v>63</x:v>
      </x:c>
      <x:c r="C67" s="26" t="str">
        <x:v>LUNA-062</x:v>
      </x:c>
      <x:c r="D67" s="26" t="str">
        <x:v>LUNA</x:v>
      </x:c>
      <x:c r="E67" s="26" t="str">
        <x:v>CTH-06｜负面监测与反馈：Backend / Binding 闭合</x:v>
      </x:c>
      <x:c r="F67" s="26" t="n">
        <x:v>10</x:v>
      </x:c>
      <x:c r="G67" s="26" t="str">
        <x:v>CTH monitoring / analysis</x:v>
      </x:c>
      <x:c r="H67" s="26" t="str">
        <x:v>PARTIAL</x:v>
      </x:c>
      <x:c r="I67" s="26" t="str">
        <x:v>源码执行/验证</x:v>
      </x:c>
      <x:c r="J67" s="26" t="str">
        <x:v>仅关闭 CTH-06 依赖的真实后端 binding：复用 canonical owner，把 scope/Permission/Evidence/state 绑定完整；不做 UI。</x:v>
      </x:c>
      <x:c r="K67" s="26" t="str">
        <x:v>已批准 CTH-06 Screen Spec；BACKEND_GAP rows 012；当前 owner/caller/tests；binding registry。</x:v>
      </x:c>
      <x:c r="L67" s="26" t="str">
        <x:v>只改对应 canonical owner、最小 API/ViewModel adapter、contracts 与 targeted tests。</x:v>
      </x:c>
      <x:c r="M67" s="26" t="str">
        <x:v>禁止创建平行 DB/Evidence/Permission/Collector/AI owner；禁止 mock success；禁止 unscoped global data；禁止改 UI composition。</x:v>
      </x:c>
      <x:c r="N67" s="26" t="str">
        <x:v>映射真实 note 字段，不得把 note 重命名成 Case；Case/Evidence 只走 canonical owner。；成功/空/未采集/离线/拒绝/错误可区分；binding registry 有当前 source evidence；acceptance 仍需 UI/E2E。</x:v>
      </x:c>
      <x:c r="O67" s="26" t="str">
        <x:v>python -m pytest tests/test_experience_runtime.py tests/test_experience_e2e_candidate.py -q tests/test_domain_context.py -q</x:v>
      </x:c>
    </x:row>
    <x:row r="68" ht="42" customHeight="1">
      <x:c r="A68" s="26" t="n">
        <x:v>74</x:v>
      </x:c>
      <x:c r="B68" s="26" t="n">
        <x:v>64</x:v>
      </x:c>
      <x:c r="C68" s="26" t="str">
        <x:v>LUNA-063</x:v>
      </x:c>
      <x:c r="D68" s="26" t="str">
        <x:v>LUNA</x:v>
      </x:c>
      <x:c r="E68" s="26" t="str">
        <x:v>CTH-06｜负面监测与反馈：App UI / UX 实现</x:v>
      </x:c>
      <x:c r="F68" s="26" t="n">
        <x:v>10</x:v>
      </x:c>
      <x:c r="G68" s="26" t="str">
        <x:v>CTH monitoring / analysis</x:v>
      </x:c>
      <x:c r="H68" s="26" t="str">
        <x:v>ABSENT</x:v>
      </x:c>
      <x:c r="I68" s="26" t="str">
        <x:v>源码执行/验证</x:v>
      </x:c>
      <x:c r="J68" s="26" t="str">
        <x:v>在 backend contract 已可信后，实现 CTH-06 的 purpose-built Flutter Experience。用户只看到任务、内容、结果与操 作，系统内部 owner/tool/evidence contract 退到产品背后。</x:v>
      </x:c>
      <x:c r="K68" s="26" t="str">
        <x:v>已批准 CTH-06 Spec；typed ViewModel/API；Experience Constitution；shared primitives whitelist；本页草图。</x:v>
      </x:c>
      <x:c r="L68" s="26" t="str">
        <x:v>仅 app/lib/features/cth/**/cth06/** (或 Sol 审核后的同 owner feature slice) + matching app/test/**；必要时只复 用已批准 shared primitives。</x:v>
      </x:c>
      <x:c r="M68" s="26" t="str">
        <x:v>禁止 generic renderer / Bento / KPI wall / SaaS dashboard / 换标题复用；禁止改 backend truth；禁止假数据；禁止 PC 缩放成 mobile。</x:v>
      </x:c>
      <x:c r="N68" s="26" t="str">
        <x:v>PC 与 mobile 均表达：将舆情、用户反馈、已确认事件分流为 triage queue；source-first 阅读。；主交互完成：核验 So urce → 分类/关联 Case → 保留原始措辞与 lineage。；mobile 重组：Review 卡片栈 + 全屏 source reader。；状态/Tr ace/Return/keyboard/touch/semantics 完整。</x:v>
      </x:c>
      <x:c r="O68" s="26" t="str">
        <x:v>cd app &amp;&amp; flutter analyze &amp;&amp; flutter test ; python scripts/audit_tools/verify_experience_anti_template.py --st rict</x:v>
      </x:c>
    </x:row>
    <x:row r="69" ht="42" customHeight="1">
      <x:c r="A69" s="26" t="n">
        <x:v>75</x:v>
      </x:c>
      <x:c r="B69" s="26" t="n">
        <x:v>65</x:v>
      </x:c>
      <x:c r="C69" s="26" t="str">
        <x:v>LUNA-064</x:v>
      </x:c>
      <x:c r="D69" s="26" t="str">
        <x:v>LUNA</x:v>
      </x:c>
      <x:c r="E69" s="26" t="str">
        <x:v>CTH-06｜负面监测与反馈：Acceptance / E2E 证据</x:v>
      </x:c>
      <x:c r="F69" s="26" t="n">
        <x:v>10</x:v>
      </x:c>
      <x:c r="G69" s="26" t="str">
        <x:v>CTH monitoring / analysis</x:v>
      </x:c>
      <x:c r="H69" s="26" t="str">
        <x:v>ABSENT</x:v>
      </x:c>
      <x:c r="I69" s="26" t="str">
        <x:v>源码执行/验证</x:v>
      </x:c>
      <x:c r="J69" s="26" t="str">
        <x:v>独立验证 CTH-06 的真实用户任务，从 App action 到 API/Permission/Canonical/Evidence/result/Return，不以“页面能渲染”作为完成。</x:v>
      </x:c>
      <x:c r="K69" s="26" t="str">
        <x:v>CTH-06 Spec acceptance IDs；Flutter tests；backend tests；runtime/E2E harness；真实/隔离数据按 tier 使用。</x:v>
      </x:c>
      <x:c r="L69" s="26" t="str">
        <x:v>只补测试、测试辅助与明确 bug fix；若发现实现问题回修本 screen owner。</x:v>
      </x:c>
      <x:c r="M69" s="26" t="str">
        <x:v>禁止降低 assertion；禁止 screenshot 自证；禁止把 excluded/quarantine 当 PASS；禁止 fixture 代替 live claim。</x:v>
      </x:c>
      <x:c r="N69" s="26" t="str">
        <x:v>Widget/API/integration 至少全绿；关键 responsive widths；blocked/error/retry/Trace/Return；需要 live 的标为 LIVE_VERIFIED 或明确未验证。</x:v>
      </x:c>
      <x:c r="O69" s="26" t="str">
        <x:v>cd app &amp;&amp; flutter analyze &amp;&amp; flutter test ; python -m pytest tests/test_experience_runtime.py tests/test_experience_e2e_candidate.py -q tests/test_domain_context.py -q ; python scripts/audit_tools/ver ify_experience_authority_exclusive.py ; python scripts/audit_tools/verify_experience_anti_template.py --strict ; python scripts/audit_tools/verify_experience_screen_blueprints.py</x:v>
      </x:c>
    </x:row>
    <x:row r="70" ht="42" customHeight="1">
      <x:c r="A70" s="26" t="n">
        <x:v>76</x:v>
      </x:c>
      <x:c r="B70" s="26" t="n">
        <x:v>66</x:v>
      </x:c>
      <x:c r="C70" s="26" t="str">
        <x:v>SOL-065</x:v>
      </x:c>
      <x:c r="D70" s="26" t="str">
        <x:v>SOL</x:v>
      </x:c>
      <x:c r="E70" s="26" t="str">
        <x:v>CTH-07｜趋势分析：Screen Spec 闭合</x:v>
      </x:c>
      <x:c r="F70" s="26" t="n">
        <x:v>10</x:v>
      </x:c>
      <x:c r="G70" s="26" t="str">
        <x:v>CTH monitoring / analysis</x:v>
      </x:c>
      <x:c r="H70" s="26" t="str">
        <x:v>ABSENT</x:v>
      </x:c>
      <x:c r="I70" s="26" t="str">
        <x:v>产品判断/验收</x:v>
      </x:c>
      <x:c r="J70" s="26" t="str">
        <x:v>把 CTH-07 的用户问题、entry/return、PC/mobile composition、真实 fields/actions、state matrix、permission/evidence、acceptance 全部收敛成可施工 Spec。</x:v>
      </x:c>
      <x:c r="K70" s="26" t="str">
        <x:v>Experience Constitution §36 CTH-07 blueprint；contracts/experience/screens/CTH-07/；binding registry；BACKEND-GAP-013；当前 source owner/caller/tests。</x:v>
      </x:c>
      <x:c r="L70" s="26" t="str">
        <x:v>只更新/审核 contracts/experience/screen-specifications/&lt;ID&gt;.md 与必要 binding ledger；产品架构不变。</x:v>
      </x:c>
      <x:c r="M70" s="26" t="str">
        <x:v>禁止从 fixture 推断 production；UNKNOWN owner/API/permission/lineage 必须阻塞相应行为；禁止画成通用 dashboard。</x:v>
      </x:c>
      <x:c r="N70" s="26" t="str">
        <x:v>Spec 明确：同步时间序列 + metric definition + comparison overlay + delta decomposition。；主操作：添加兼容 metric/cohort → 看 delta 贡献与 Evidence。；移动：单主图 + 横向 metric switcher + delta 解释 。；所有字段/动作有 source 或明确 BLOCKED。</x:v>
      </x:c>
      <x:c r="O70" s="26" t="str">
        <x:v>python scripts/audit_tools/verify_experience_screen_blueprints.py；人工核对 Spec 10 sections 完整，产品 owner approval 记录清楚。</x:v>
      </x:c>
    </x:row>
    <x:row r="71" ht="42" customHeight="1">
      <x:c r="A71" s="26" t="n">
        <x:v>77</x:v>
      </x:c>
      <x:c r="B71" s="26" t="n">
        <x:v>67</x:v>
      </x:c>
      <x:c r="C71" s="26" t="str">
        <x:v>LUNA-066</x:v>
      </x:c>
      <x:c r="D71" s="26" t="str">
        <x:v>LUNA</x:v>
      </x:c>
      <x:c r="E71" s="26" t="str">
        <x:v>CTH-07｜趋势分析：Backend / Binding 闭合</x:v>
      </x:c>
      <x:c r="F71" s="26" t="n">
        <x:v>10</x:v>
      </x:c>
      <x:c r="G71" s="26" t="str">
        <x:v>CTH monitoring / analysis</x:v>
      </x:c>
      <x:c r="H71" s="26" t="str">
        <x:v>PARTIAL</x:v>
      </x:c>
      <x:c r="I71" s="26" t="str">
        <x:v>源码执行/验证</x:v>
      </x:c>
      <x:c r="J71" s="26" t="str">
        <x:v>仅关闭 CTH-07 依赖的真实后端 binding：复用 canonical owner，把 scope/Permission/Evidence/state 绑定完整；不做 UI。</x:v>
      </x:c>
      <x:c r="K71" s="26" t="str">
        <x:v>已批准 CTH-07 Screen Spec；BACKEND_GAP rows 013；当前 owner/caller/tests；binding registry。</x:v>
      </x:c>
      <x:c r="L71" s="26" t="str">
        <x:v>只改对应 canonical owner、最小 API/ViewModel adapter、contracts 与 targeted tests。</x:v>
      </x:c>
      <x:c r="M71" s="26" t="str">
        <x:v>禁止创建平行 DB/Evidence/Permission/Collector/AI owner；禁止 mock success；禁止 unscoped global data；禁止改 UI composition。</x:v>
      </x:c>
      <x:c r="N71" s="26" t="str">
        <x:v>修复 daily aggregate 的 error-to-zero；补 Subject/freshness/Evidence。；成功/空/未采集/离线/拒绝/错误可区分；binding registry 有当前 source evidence；acceptance 仍需 UI/E2E。</x:v>
      </x:c>
      <x:c r="O71" s="26" t="str">
        <x:v>python -m pytest tests/test_experience_runtime.py tests/test_experience_e2e_candidate.py -q tests/test_domain_context.py -q</x:v>
      </x:c>
    </x:row>
    <x:row r="72" ht="42" customHeight="1">
      <x:c r="A72" s="26" t="n">
        <x:v>78</x:v>
      </x:c>
      <x:c r="B72" s="26" t="n">
        <x:v>68</x:v>
      </x:c>
      <x:c r="C72" s="26" t="str">
        <x:v>LUNA-067</x:v>
      </x:c>
      <x:c r="D72" s="26" t="str">
        <x:v>LUNA</x:v>
      </x:c>
      <x:c r="E72" s="26" t="str">
        <x:v>CTH-07｜趋势分析：App UI / UX 实现</x:v>
      </x:c>
      <x:c r="F72" s="26" t="n">
        <x:v>10</x:v>
      </x:c>
      <x:c r="G72" s="26" t="str">
        <x:v>CTH monitoring / analysis</x:v>
      </x:c>
      <x:c r="H72" s="26" t="str">
        <x:v>ABSENT</x:v>
      </x:c>
      <x:c r="I72" s="26" t="str">
        <x:v>源码执行/验证</x:v>
      </x:c>
      <x:c r="J72" s="26" t="str">
        <x:v>在 backend contract 已可信后，实现 CTH-07 的 purpose-built Flutter Experience。用户只看到任务、内容、结果与操 作，系统内部 owner/tool/evidence contract 退到产品背后。</x:v>
      </x:c>
      <x:c r="K72" s="26" t="str">
        <x:v>已批准 CTH-07 Spec；typed ViewModel/API；Experience Constitution；shared primitives whitelist；本页草图。</x:v>
      </x:c>
      <x:c r="L72" s="26" t="str">
        <x:v>仅 app/lib/features/cth/**/cth07/** (或 Sol 审核后的同 owner feature slice) + matching app/test/**；必要时只复 用已批准 shared primitives。</x:v>
      </x:c>
      <x:c r="M72" s="26" t="str">
        <x:v>禁止 generic renderer / Bento / KPI wall / SaaS dashboard / 换标题复用；禁止改 backend truth；禁止假数据；禁止 PC 缩放成 mobile。</x:v>
      </x:c>
      <x:c r="N72" s="26" t="str">
        <x:v>PC 与 mobile 均表达：同步时间序列 + metric definition + comparison overlay + delta decomposition。；主交互完成 ：添加兼容 metric/cohort → 看 delta 贡献与 Evidence。；mobile 重组：单主图 + 横向 metric switcher + delta 解 释。；状态/Trace/Return/keyboard/touch/semantics 完整。</x:v>
      </x:c>
      <x:c r="O72" s="26" t="str">
        <x:v>cd app &amp;&amp; flutter analyze &amp;&amp; flutter test ; python scripts/audit_tools/verify_experience_anti_template.py --st rict</x:v>
      </x:c>
    </x:row>
    <x:row r="73" ht="42" customHeight="1">
      <x:c r="A73" s="26" t="n">
        <x:v>79</x:v>
      </x:c>
      <x:c r="B73" s="26" t="n">
        <x:v>69</x:v>
      </x:c>
      <x:c r="C73" s="26" t="str">
        <x:v>LUNA-068</x:v>
      </x:c>
      <x:c r="D73" s="26" t="str">
        <x:v>LUNA</x:v>
      </x:c>
      <x:c r="E73" s="26" t="str">
        <x:v>CTH-07｜趋势分析：Acceptance / E2E 证据</x:v>
      </x:c>
      <x:c r="F73" s="26" t="n">
        <x:v>10</x:v>
      </x:c>
      <x:c r="G73" s="26" t="str">
        <x:v>CTH monitoring / analysis</x:v>
      </x:c>
      <x:c r="H73" s="26" t="str">
        <x:v>ABSENT</x:v>
      </x:c>
      <x:c r="I73" s="26" t="str">
        <x:v>源码执行/验证</x:v>
      </x:c>
      <x:c r="J73" s="26" t="str">
        <x:v>独立验证 CTH-07 的真实用户任务，从 App action 到 API/Permission/Canonical/Evidence/result/Return，不以“页面能渲染”作为完成。</x:v>
      </x:c>
      <x:c r="K73" s="26" t="str">
        <x:v>CTH-07 Spec acceptance IDs；Flutter tests；backend tests；runtime/E2E harness；真实/隔离数据按 tier 使用。</x:v>
      </x:c>
      <x:c r="L73" s="26" t="str">
        <x:v>只补测试、测试辅助与明确 bug fix；若发现实现问题回修本 screen owner。</x:v>
      </x:c>
      <x:c r="M73" s="26" t="str">
        <x:v>禁止降低 assertion；禁止 screenshot 自证；禁止把 excluded/quarantine 当 PASS；禁止 fixture 代替 live claim。</x:v>
      </x:c>
      <x:c r="N73" s="26" t="str">
        <x:v>Widget/API/integration 至少全绿；关键 responsive widths；blocked/error/retry/Trace/Return；需要 live 的标为 LIVE_VERIFIED 或明确未验证。</x:v>
      </x:c>
      <x:c r="O73" s="26" t="str">
        <x:v>cd app &amp;&amp; flutter analyze &amp;&amp; flutter test ; python -m pytest tests/test_experience_runtime.py tests/test_experience_e2e_candidate.py -q tests/test_domain_context.py -q ; python scripts/audit_tools/ver ify_experience_authority_exclusive.py ; python scripts/audit_tools/verify_experience_anti_template.py --strict ; python scripts/audit_tools/verify_experience_screen_blueprints.py</x:v>
      </x:c>
    </x:row>
    <x:row r="74" ht="42" customHeight="1">
      <x:c r="A74" s="26" t="n">
        <x:v>80</x:v>
      </x:c>
      <x:c r="B74" s="26" t="n">
        <x:v>70</x:v>
      </x:c>
      <x:c r="C74" s="26" t="str">
        <x:v>SOL-069</x:v>
      </x:c>
      <x:c r="D74" s="26" t="str">
        <x:v>SOL</x:v>
      </x:c>
      <x:c r="E74" s="26" t="str">
        <x:v>CTH-08｜案例与知识库：Screen Spec 闭合</x:v>
      </x:c>
      <x:c r="F74" s="26" t="n">
        <x:v>11</x:v>
      </x:c>
      <x:c r="G74" s="26" t="str">
        <x:v>CTH case / decision / report</x:v>
      </x:c>
      <x:c r="H74" s="26" t="str">
        <x:v>ABSENT</x:v>
      </x:c>
      <x:c r="I74" s="26" t="str">
        <x:v>产品判断/验收</x:v>
      </x:c>
      <x:c r="J74" s="26" t="str">
        <x:v>把 CTH-08 的用户问题、entry/return、PC/mobile composition、真实 fields/actions、state matrix、permission/evidence、acceptance 全部收敛成可施工 Spec。</x:v>
      </x:c>
      <x:c r="K74" s="26" t="str">
        <x:v>Experience Constitution §36 CTH-08 blueprint；contracts/experience/screens/CTH-08/；binding registry；BACKEND-GAP-014；当前 source owner/caller/tests。</x:v>
      </x:c>
      <x:c r="L74" s="26" t="str">
        <x:v>只更新/审核 contracts/experience/screen-specifications/&lt;ID&gt;.md 与必要 binding ledger；产品架构不变。</x:v>
      </x:c>
      <x:c r="M74" s="26" t="str">
        <x:v>禁止从 fixture 推断 production；UNKNOWN owner/API/permission/lineage 必须阻塞相应行为；禁止画成通用 dashboard。</x:v>
      </x:c>
      <x:c r="N74" s="26" t="str">
        <x:v>Spec 明确：Open Case 生命周期与 verified knowledge shelf 分开；Case timeline 不等于知识。；主操作：授权状态迁移；reviewed conclusion 才能晋升 knowledge。；移动：Case inbox + 步进 timeline。；所有字段/ 动作有 source 或明确 BLOCKED。</x:v>
      </x:c>
      <x:c r="O74" s="26" t="str">
        <x:v>python scripts/audit_tools/verify_experience_screen_blueprints.py；人工核对 Spec 10 sections 完整，产品 owner approval 记录清楚。</x:v>
      </x:c>
    </x:row>
    <x:row r="75" ht="42" customHeight="1">
      <x:c r="A75" s="26" t="n">
        <x:v>81</x:v>
      </x:c>
      <x:c r="B75" s="26" t="n">
        <x:v>71</x:v>
      </x:c>
      <x:c r="C75" s="26" t="str">
        <x:v>LUNA-070</x:v>
      </x:c>
      <x:c r="D75" s="26" t="str">
        <x:v>LUNA</x:v>
      </x:c>
      <x:c r="E75" s="26" t="str">
        <x:v>CTH-08｜案例与知识库：Backend / Binding 闭合</x:v>
      </x:c>
      <x:c r="F75" s="26" t="n">
        <x:v>11</x:v>
      </x:c>
      <x:c r="G75" s="26" t="str">
        <x:v>CTH case / decision / report</x:v>
      </x:c>
      <x:c r="H75" s="26" t="str">
        <x:v>PARTIAL</x:v>
      </x:c>
      <x:c r="I75" s="26" t="str">
        <x:v>源码执行/验证</x:v>
      </x:c>
      <x:c r="J75" s="26" t="str">
        <x:v>仅关闭 CTH-08 依赖的真实后端 binding：复用 canonical owner，把 scope/Permission/Evidence/state 绑定完整；不做 UI。</x:v>
      </x:c>
      <x:c r="K75" s="26" t="str">
        <x:v>已批准 CTH-08 Screen Spec；BACKEND_GAP rows 014；当前 owner/caller/tests；binding registry。</x:v>
      </x:c>
      <x:c r="L75" s="26" t="str">
        <x:v>只改对应 canonical owner、最小 API/ViewModel adapter、contracts 与 targeted tests。</x:v>
      </x:c>
      <x:c r="M75" s="26" t="str">
        <x:v>禁止创建平行 DB/Evidence/Permission/Collector/AI owner；禁止 mock success；禁止 unscoped global data；禁止改 UI composition。</x:v>
      </x:c>
      <x:c r="N75" s="26" t="str">
        <x:v>当前 high-risk/event 不是 canonical Case；先绑定 Case owner、ID、state、lifecycle。；成功/空/未采集/离线/拒绝/错误可区分；binding registry 有当前 source evidence；acceptance 仍需 UI/E2E。</x:v>
      </x:c>
      <x:c r="O75" s="26" t="str">
        <x:v>python -m pytest tests/test_experience_runtime.py tests/test_experience_e2e_candidate.py -q tests/test_domain_context.py -q</x:v>
      </x:c>
    </x:row>
    <x:row r="76" ht="42" customHeight="1">
      <x:c r="A76" s="26" t="n">
        <x:v>82</x:v>
      </x:c>
      <x:c r="B76" s="26" t="n">
        <x:v>72</x:v>
      </x:c>
      <x:c r="C76" s="26" t="str">
        <x:v>LUNA-071</x:v>
      </x:c>
      <x:c r="D76" s="26" t="str">
        <x:v>LUNA</x:v>
      </x:c>
      <x:c r="E76" s="26" t="str">
        <x:v>CTH-08｜案例与知识库：App UI / UX 实现</x:v>
      </x:c>
      <x:c r="F76" s="26" t="n">
        <x:v>11</x:v>
      </x:c>
      <x:c r="G76" s="26" t="str">
        <x:v>CTH case / decision / report</x:v>
      </x:c>
      <x:c r="H76" s="26" t="str">
        <x:v>ABSENT</x:v>
      </x:c>
      <x:c r="I76" s="26" t="str">
        <x:v>源码执行/验证</x:v>
      </x:c>
      <x:c r="J76" s="26" t="str">
        <x:v>在 backend contract 已可信后，实现 CTH-08 的 purpose-built Flutter Experience。用户只看到任务、内容、结果与操 作，系统内部 owner/tool/evidence contract 退到产品背后。</x:v>
      </x:c>
      <x:c r="K76" s="26" t="str">
        <x:v>已批准 CTH-08 Spec；typed ViewModel/API；Experience Constitution；shared primitives whitelist；本页草图。</x:v>
      </x:c>
      <x:c r="L76" s="26" t="str">
        <x:v>仅 app/lib/features/cth/**/cth08/** (或 Sol 审核后的同 owner feature slice) + matching app/test/**；必要时只复 用已批准 shared primitives。</x:v>
      </x:c>
      <x:c r="M76" s="26" t="str">
        <x:v>禁止 generic renderer / Bento / KPI wall / SaaS dashboard / 换标题复用；禁止改 backend truth；禁止假数据；禁止 PC 缩放成 mobile。</x:v>
      </x:c>
      <x:c r="N76" s="26" t="str">
        <x:v>PC 与 mobile 均表达：Open Case 生命周期与 verified knowledge shelf 分开；Case timeline 不等于知识。；主交互完 成：授权状态迁移；reviewed conclusion 才能晋升 knowledge。；mobile 重组：Case inbox + 步进 timeline。；状态/Tr ace/Return/keyboard/touch/semantics 完整。</x:v>
      </x:c>
      <x:c r="O76" s="26" t="str">
        <x:v>cd app &amp;&amp; flutter analyze &amp;&amp; flutter test ; python scripts/audit_tools/verify_experience_anti_template.py --st rict</x:v>
      </x:c>
    </x:row>
    <x:row r="77" ht="42" customHeight="1">
      <x:c r="A77" s="26" t="n">
        <x:v>83</x:v>
      </x:c>
      <x:c r="B77" s="26" t="n">
        <x:v>73</x:v>
      </x:c>
      <x:c r="C77" s="26" t="str">
        <x:v>LUNA-072</x:v>
      </x:c>
      <x:c r="D77" s="26" t="str">
        <x:v>LUNA</x:v>
      </x:c>
      <x:c r="E77" s="26" t="str">
        <x:v>CTH-08｜案例与知识库：Acceptance / E2E 证据</x:v>
      </x:c>
      <x:c r="F77" s="26" t="n">
        <x:v>11</x:v>
      </x:c>
      <x:c r="G77" s="26" t="str">
        <x:v>CTH case / decision / report</x:v>
      </x:c>
      <x:c r="H77" s="26" t="str">
        <x:v>ABSENT</x:v>
      </x:c>
      <x:c r="I77" s="26" t="str">
        <x:v>源码执行/验证</x:v>
      </x:c>
      <x:c r="J77" s="26" t="str">
        <x:v>独立验证 CTH-08 的真实用户任务，从 App action 到 API/Permission/Canonical/Evidence/result/Return，不以“页面能渲染”作为完成。</x:v>
      </x:c>
      <x:c r="K77" s="26" t="str">
        <x:v>CTH-08 Spec acceptance IDs；Flutter tests；backend tests；runtime/E2E harness；真实/隔离数据按 tier 使用。</x:v>
      </x:c>
      <x:c r="L77" s="26" t="str">
        <x:v>只补测试、测试辅助与明确 bug fix；若发现实现问题回修本 screen owner。</x:v>
      </x:c>
      <x:c r="M77" s="26" t="str">
        <x:v>禁止降低 assertion；禁止 screenshot 自证；禁止把 excluded/quarantine 当 PASS；禁止 fixture 代替 live claim。</x:v>
      </x:c>
      <x:c r="N77" s="26" t="str">
        <x:v>Widget/API/integration 至少全绿；关键 responsive widths；blocked/error/retry/Trace/Return；需要 live 的标为 LIVE_VERIFIED 或明确未验证。</x:v>
      </x:c>
      <x:c r="O77" s="26" t="str">
        <x:v>cd app &amp;&amp; flutter analyze &amp;&amp; flutter test ; python -m pytest tests/test_experience_runtime.py tests/test_experience_e2e_candidate.py -q tests/test_domain_context.py -q ; python scripts/audit_tools/ver ify_experience_authority_exclusive.py ; python scripts/audit_tools/verify_experience_anti_template.py --strict ; python scripts/audit_tools/verify_experience_screen_blueprints.py</x:v>
      </x:c>
    </x:row>
    <x:row r="78" ht="42" customHeight="1">
      <x:c r="A78" s="26" t="n">
        <x:v>84</x:v>
      </x:c>
      <x:c r="B78" s="26" t="n">
        <x:v>74</x:v>
      </x:c>
      <x:c r="C78" s="26" t="str">
        <x:v>SOL-073</x:v>
      </x:c>
      <x:c r="D78" s="26" t="str">
        <x:v>SOL</x:v>
      </x:c>
      <x:c r="E78" s="26" t="str">
        <x:v>CTH-09｜风险与决策板：Screen Spec 闭合</x:v>
      </x:c>
      <x:c r="F78" s="26" t="n">
        <x:v>11</x:v>
      </x:c>
      <x:c r="G78" s="26" t="str">
        <x:v>CTH case / decision / report</x:v>
      </x:c>
      <x:c r="H78" s="26" t="str">
        <x:v>ABSENT</x:v>
      </x:c>
      <x:c r="I78" s="26" t="str">
        <x:v>产品判断/验收</x:v>
      </x:c>
      <x:c r="J78" s="26" t="str">
        <x:v>把 CTH-09 的用户问题、entry/return、PC/mobile composition、真实 fields/actions、state matrix、permission/evidence、acceptance 全部收敛成可施工 Spec。</x:v>
      </x:c>
      <x:c r="K78" s="26" t="str">
        <x:v>Experience Constitution §36 CTH-09 blueprint；contracts/experience/screens/CTH-09/；binding registry；BACKEND-GAP-015,016；当前 source owner/caller/tests。</x:v>
      </x:c>
      <x:c r="L78" s="26" t="str">
        <x:v>只更新/审核 contracts/experience/screen-specifications/&lt;ID&gt;.md 与必要 binding ledger；产品架构不变。</x:v>
      </x:c>
      <x:c r="M78" s="26" t="str">
        <x:v>禁止从 fixture 推断 production；UNKNOWN owner/API/permission/lineage 必须阻塞相应行为；禁止画成通用 dashboard。</x:v>
      </x:c>
      <x:c r="N78" s="26" t="str">
        <x:v>Spec 明确：Risk register 与 Decision ledger 对齐，Evidence 与 Action owner 同行展示。；主操作：看 basis → 记录 Decision → 请求审批 → 确认 Action。；移动：风险流 + Decision detail + 明确确认。；所有 字段/动作有 source 或明确 BLOCKED。</x:v>
      </x:c>
      <x:c r="O78" s="26" t="str">
        <x:v>python scripts/audit_tools/verify_experience_screen_blueprints.py；人工核对 Spec 10 sections 完整，产品 owner approval 记录清楚。</x:v>
      </x:c>
    </x:row>
    <x:row r="79" ht="42" customHeight="1">
      <x:c r="A79" s="26" t="n">
        <x:v>85</x:v>
      </x:c>
      <x:c r="B79" s="26" t="n">
        <x:v>75</x:v>
      </x:c>
      <x:c r="C79" s="26" t="str">
        <x:v>LUNA-074</x:v>
      </x:c>
      <x:c r="D79" s="26" t="str">
        <x:v>LUNA</x:v>
      </x:c>
      <x:c r="E79" s="26" t="str">
        <x:v>CTH-09｜风险与决策板：Backend / Binding 闭合</x:v>
      </x:c>
      <x:c r="F79" s="26" t="n">
        <x:v>11</x:v>
      </x:c>
      <x:c r="G79" s="26" t="str">
        <x:v>CTH case / decision / report</x:v>
      </x:c>
      <x:c r="H79" s="26" t="str">
        <x:v>PARTIAL</x:v>
      </x:c>
      <x:c r="I79" s="26" t="str">
        <x:v>源码执行/验证</x:v>
      </x:c>
      <x:c r="J79" s="26" t="str">
        <x:v>仅关闭 CTH-09 依赖的真实后端 binding：复用 canonical owner，把 scope/Permission/Evidence/state 绑定完整；不做 UI。</x:v>
      </x:c>
      <x:c r="K79" s="26" t="str">
        <x:v>已批准 CTH-09 Screen Spec；BACKEND_GAP rows 015/016；当前 owner/caller/tests；binding registry。</x:v>
      </x:c>
      <x:c r="L79" s="26" t="str">
        <x:v>只改对应 canonical owner、最小 API/ViewModel adapter、contracts 与 targeted tests。</x:v>
      </x:c>
      <x:c r="M79" s="26" t="str">
        <x:v>禁止创建平行 DB/Evidence/Permission/Collector/AI owner；禁止 mock success；禁止 unscoped global data；禁止改 UI composition。</x:v>
      </x:c>
      <x:c r="N79" s="26" t="str">
        <x:v>Risk 可复用但 Decision owner/API 当前缺失；不得自行创造第二套 Decision。；成功/空/未采集/离线/拒绝/错误可区分；binding registry 有当前 source evidence；acceptance 仍需 UI/E2E。</x:v>
      </x:c>
      <x:c r="O79" s="26" t="str">
        <x:v>python -m pytest tests/test_experience_runtime.py tests/test_experience_e2e_candidate.py -q tests/test_domain_context.py -q</x:v>
      </x:c>
    </x:row>
    <x:row r="80" ht="42" customHeight="1">
      <x:c r="A80" s="26" t="n">
        <x:v>86</x:v>
      </x:c>
      <x:c r="B80" s="26" t="n">
        <x:v>76</x:v>
      </x:c>
      <x:c r="C80" s="26" t="str">
        <x:v>LUNA-075</x:v>
      </x:c>
      <x:c r="D80" s="26" t="str">
        <x:v>LUNA</x:v>
      </x:c>
      <x:c r="E80" s="26" t="str">
        <x:v>CTH-09｜风险与决策板：App UI / UX 实现</x:v>
      </x:c>
      <x:c r="F80" s="26" t="n">
        <x:v>11</x:v>
      </x:c>
      <x:c r="G80" s="26" t="str">
        <x:v>CTH case / decision / report</x:v>
      </x:c>
      <x:c r="H80" s="26" t="str">
        <x:v>ABSENT</x:v>
      </x:c>
      <x:c r="I80" s="26" t="str">
        <x:v>源码执行/验证</x:v>
      </x:c>
      <x:c r="J80" s="26" t="str">
        <x:v>在 backend contract 已可信后，实现 CTH-09 的 purpose-built Flutter Experience。用户只看到任务、内容、结果与操 作，系统内部 owner/tool/evidence contract 退到产品背后。</x:v>
      </x:c>
      <x:c r="K80" s="26" t="str">
        <x:v>已批准 CTH-09 Spec；typed ViewModel/API；Experience Constitution；shared primitives whitelist；本页草图。</x:v>
      </x:c>
      <x:c r="L80" s="26" t="str">
        <x:v>仅 app/lib/features/cth/**/cth09/** (或 Sol 审核后的同 owner feature slice) + matching app/test/**；必要时只复 用已批准 shared primitives。</x:v>
      </x:c>
      <x:c r="M80" s="26" t="str">
        <x:v>禁止 generic renderer / Bento / KPI wall / SaaS dashboard / 换标题复用；禁止改 backend truth；禁止假数据；禁止 PC 缩放成 mobile。</x:v>
      </x:c>
      <x:c r="N80" s="26" t="str">
        <x:v>PC 与 mobile 均表达：Risk register 与 Decision ledger 对齐，Evidence 与 Action owner 同行展示。；主交互完成： 看 basis → 记录 Decision → 请求审批 → 确认 Action。；mobile 重组：风险流 + Decision detail + 明确确认。；状 态/Trace/Return/keyboard/touch/semantics 完整。</x:v>
      </x:c>
      <x:c r="O80" s="26" t="str">
        <x:v>cd app &amp;&amp; flutter analyze &amp;&amp; flutter test ; python scripts/audit_tools/verify_experience_anti_template.py --st rict</x:v>
      </x:c>
    </x:row>
    <x:row r="81" ht="42" customHeight="1">
      <x:c r="A81" s="26" t="n">
        <x:v>87</x:v>
      </x:c>
      <x:c r="B81" s="26" t="n">
        <x:v>77</x:v>
      </x:c>
      <x:c r="C81" s="26" t="str">
        <x:v>LUNA-076</x:v>
      </x:c>
      <x:c r="D81" s="26" t="str">
        <x:v>LUNA</x:v>
      </x:c>
      <x:c r="E81" s="26" t="str">
        <x:v>CTH-09｜风险与决策板：Acceptance / E2E 证据</x:v>
      </x:c>
      <x:c r="F81" s="26" t="n">
        <x:v>11</x:v>
      </x:c>
      <x:c r="G81" s="26" t="str">
        <x:v>CTH case / decision / report</x:v>
      </x:c>
      <x:c r="H81" s="26" t="str">
        <x:v>ABSENT</x:v>
      </x:c>
      <x:c r="I81" s="26" t="str">
        <x:v>源码执行/验证</x:v>
      </x:c>
      <x:c r="J81" s="26" t="str">
        <x:v>独立验证 CTH-09 的真实用户任务，从 App action 到 API/Permission/Canonical/Evidence/result/Return，不以“页面能渲染”作为完成。</x:v>
      </x:c>
      <x:c r="K81" s="26" t="str">
        <x:v>CTH-09 Spec acceptance IDs；Flutter tests；backend tests；runtime/E2E harness；真实/隔离数据按 tier 使用。</x:v>
      </x:c>
      <x:c r="L81" s="26" t="str">
        <x:v>只补测试、测试辅助与明确 bug fix；若发现实现问题回修本 screen owner。</x:v>
      </x:c>
      <x:c r="M81" s="26" t="str">
        <x:v>禁止降低 assertion；禁止 screenshot 自证；禁止把 excluded/quarantine 当 PASS；禁止 fixture 代替 live claim。</x:v>
      </x:c>
      <x:c r="N81" s="26" t="str">
        <x:v>Widget/API/integration 至少全绿；关键 responsive widths；blocked/error/retry/Trace/Return；需要 live 的标为 LIVE_VERIFIED 或明确未验证。</x:v>
      </x:c>
      <x:c r="O81" s="26" t="str">
        <x:v>cd app &amp;&amp; flutter analyze &amp;&amp; flutter test ; python -m pytest tests/test_experience_runtime.py tests/test_experience_e2e_candidate.py -q tests/test_domain_context.py -q ; python scripts/audit_tools/ver ify_experience_authority_exclusive.py ; python scripts/audit_tools/verify_experience_anti_template.py --strict ; python scripts/audit_tools/verify_experience_screen_blueprints.py</x:v>
      </x:c>
    </x:row>
    <x:row r="82" ht="42" customHeight="1">
      <x:c r="A82" s="26" t="n">
        <x:v>88</x:v>
      </x:c>
      <x:c r="B82" s="26" t="n">
        <x:v>78</x:v>
      </x:c>
      <x:c r="C82" s="26" t="str">
        <x:v>SOL-077</x:v>
      </x:c>
      <x:c r="D82" s="26" t="str">
        <x:v>SOL</x:v>
      </x:c>
      <x:c r="E82" s="26" t="str">
        <x:v>CTH-10｜报告与周报：Screen Spec 闭合</x:v>
      </x:c>
      <x:c r="F82" s="26" t="n">
        <x:v>11</x:v>
      </x:c>
      <x:c r="G82" s="26" t="str">
        <x:v>CTH case / decision / report</x:v>
      </x:c>
      <x:c r="H82" s="26" t="str">
        <x:v>ABSENT</x:v>
      </x:c>
      <x:c r="I82" s="26" t="str">
        <x:v>产品判断/验收</x:v>
      </x:c>
      <x:c r="J82" s="26" t="str">
        <x:v>把 CTH-10 的用户问题、entry/return、PC/mobile composition、真实 fields/actions、state matrix、permission/evidence、acceptance 全部收敛成可施工 Spec。</x:v>
      </x:c>
      <x:c r="K82" s="26" t="str">
        <x:v>Experience Constitution §36 CTH-10 blueprint；contracts/experience/screens/CTH-10/；binding registry；BACKEND-GAP-017；当前 source owner/caller/tests。</x:v>
      </x:c>
      <x:c r="L82" s="26" t="str">
        <x:v>只更新/审核 contracts/experience/screen-specifications/&lt;ID&gt;.md 与必要 binding ledger；产品架构不变。</x:v>
      </x:c>
      <x:c r="M82" s="26" t="str">
        <x:v>禁止从 fixture 推断 production；UNKNOWN owner/API/permission/lineage 必须阻塞相应行为；禁止画成通用 dashboard。</x:v>
      </x:c>
      <x:c r="N82" s="26" t="str">
        <x:v>Spec 明确：Report storyboard：结论、上下文、drivers、Evidence、方法与 scope；不是 Dashboard 截图。；主操作：选 period/block → 核验 source → preview/export。；移动：章节列表 → 单页预览 → export she et。；所有字段/动作有 source 或明确 BLOCKED。</x:v>
      </x:c>
      <x:c r="O82" s="26" t="str">
        <x:v>python scripts/audit_tools/verify_experience_screen_blueprints.py；人工核对 Spec 10 sections 完整，产品 owner approval 记录清楚。</x:v>
      </x:c>
    </x:row>
    <x:row r="83" ht="42" customHeight="1">
      <x:c r="A83" s="26" t="n">
        <x:v>89</x:v>
      </x:c>
      <x:c r="B83" s="26" t="n">
        <x:v>79</x:v>
      </x:c>
      <x:c r="C83" s="26" t="str">
        <x:v>LUNA-078</x:v>
      </x:c>
      <x:c r="D83" s="26" t="str">
        <x:v>LUNA</x:v>
      </x:c>
      <x:c r="E83" s="26" t="str">
        <x:v>CTH-10｜报告与周报：Backend / Binding 闭合</x:v>
      </x:c>
      <x:c r="F83" s="26" t="n">
        <x:v>11</x:v>
      </x:c>
      <x:c r="G83" s="26" t="str">
        <x:v>CTH case / decision / report</x:v>
      </x:c>
      <x:c r="H83" s="26" t="str">
        <x:v>PARTIAL</x:v>
      </x:c>
      <x:c r="I83" s="26" t="str">
        <x:v>源码执行/验证</x:v>
      </x:c>
      <x:c r="J83" s="26" t="str">
        <x:v>仅关闭 CTH-10 依赖的真实后端 binding：复用 canonical owner，把 scope/Permission/Evidence/state 绑定完整；不做 UI。</x:v>
      </x:c>
      <x:c r="K83" s="26" t="str">
        <x:v>已批准 CTH-10 Screen Spec；BACKEND_GAP rows 017；当前 owner/caller/tests；binding registry。</x:v>
      </x:c>
      <x:c r="L83" s="26" t="str">
        <x:v>只改对应 canonical owner、最小 API/ViewModel adapter、contracts 与 targeted tests。</x:v>
      </x:c>
      <x:c r="M83" s="26" t="str">
        <x:v>禁止创建平行 DB/Evidence/Permission/Collector/AI owner；禁止 mock success；禁止 unscoped global data；禁止改 UI composition。</x:v>
      </x:c>
      <x:c r="N83" s="26" t="str">
        <x:v>当前 report/Evidence 跨 scope；先在现有 owner 加 Subject/product filters 和 export Permission。；成功/空/未采集/离线/拒绝/错误可区分；binding registry 有当前 source evidence；acceptance 仍需 UI/E2E。</x:v>
      </x:c>
      <x:c r="O83" s="26" t="str">
        <x:v>python -m pytest tests/test_experience_runtime.py tests/test_experience_e2e_candidate.py -q tests/test_domain_context.py -q</x:v>
      </x:c>
    </x:row>
    <x:row r="84" ht="42" customHeight="1">
      <x:c r="A84" s="26" t="n">
        <x:v>90</x:v>
      </x:c>
      <x:c r="B84" s="26" t="n">
        <x:v>80</x:v>
      </x:c>
      <x:c r="C84" s="26" t="str">
        <x:v>LUNA-079</x:v>
      </x:c>
      <x:c r="D84" s="26" t="str">
        <x:v>LUNA</x:v>
      </x:c>
      <x:c r="E84" s="26" t="str">
        <x:v>CTH-10｜报告与周报：App UI / UX 实现</x:v>
      </x:c>
      <x:c r="F84" s="26" t="n">
        <x:v>11</x:v>
      </x:c>
      <x:c r="G84" s="26" t="str">
        <x:v>CTH case / decision / report</x:v>
      </x:c>
      <x:c r="H84" s="26" t="str">
        <x:v>ABSENT</x:v>
      </x:c>
      <x:c r="I84" s="26" t="str">
        <x:v>源码执行/验证</x:v>
      </x:c>
      <x:c r="J84" s="26" t="str">
        <x:v>在 backend contract 已可信后，实现 CTH-10 的 purpose-built Flutter Experience。用户只看到任务、内容、结果与操 作，系统内部 owner/tool/evidence contract 退到产品背后。</x:v>
      </x:c>
      <x:c r="K84" s="26" t="str">
        <x:v>已批准 CTH-10 Spec；typed ViewModel/API；Experience Constitution；shared primitives whitelist；本页草图。</x:v>
      </x:c>
      <x:c r="L84" s="26" t="str">
        <x:v>仅 app/lib/features/cth/**/cth10/** (或 Sol 审核后的同 owner feature slice) + matching app/test/**；必要时只复 用已批准 shared primitives。</x:v>
      </x:c>
      <x:c r="M84" s="26" t="str">
        <x:v>禁止 generic renderer / Bento / KPI wall / SaaS dashboard / 换标题复用；禁止改 backend truth；禁止假数据；禁止 PC 缩放成 mobile。</x:v>
      </x:c>
      <x:c r="N84" s="26" t="str">
        <x:v>PC 与 mobile 均表达：Report storyboard：结论、上下文、drivers、Evidence、方法与 scope；不是 Dashboard 截图。； 主交互完成：选 period/block → 核验 source → preview/export。；mobile 重组：章节列表 → 单页预览 → export sh eet。；状态/Trace/Return/keyboard/touch/semantics 完整。</x:v>
      </x:c>
      <x:c r="O84" s="26" t="str">
        <x:v>cd app &amp;&amp; flutter analyze &amp;&amp; flutter test ; python scripts/audit_tools/verify_experience_anti_template.py --st rict</x:v>
      </x:c>
    </x:row>
    <x:row r="85" ht="42" customHeight="1">
      <x:c r="A85" s="26" t="n">
        <x:v>91</x:v>
      </x:c>
      <x:c r="B85" s="26" t="n">
        <x:v>81</x:v>
      </x:c>
      <x:c r="C85" s="26" t="str">
        <x:v>LUNA-080</x:v>
      </x:c>
      <x:c r="D85" s="26" t="str">
        <x:v>LUNA</x:v>
      </x:c>
      <x:c r="E85" s="26" t="str">
        <x:v>CTH-10｜报告与周报：Acceptance / E2E 证据</x:v>
      </x:c>
      <x:c r="F85" s="26" t="n">
        <x:v>11</x:v>
      </x:c>
      <x:c r="G85" s="26" t="str">
        <x:v>CTH case / decision / report</x:v>
      </x:c>
      <x:c r="H85" s="26" t="str">
        <x:v>ABSENT</x:v>
      </x:c>
      <x:c r="I85" s="26" t="str">
        <x:v>源码执行/验证</x:v>
      </x:c>
      <x:c r="J85" s="26" t="str">
        <x:v>独立验证 CTH-10 的真实用户任务，从 App action 到 API/Permission/Canonical/Evidence/result/Return，不以“页面能渲染”作为完成。</x:v>
      </x:c>
      <x:c r="K85" s="26" t="str">
        <x:v>CTH-10 Spec acceptance IDs；Flutter tests；backend tests；runtime/E2E harness；真实/隔离数据按 tier 使用。</x:v>
      </x:c>
      <x:c r="L85" s="26" t="str">
        <x:v>只补测试、测试辅助与明确 bug fix；若发现实现问题回修本 screen owner。</x:v>
      </x:c>
      <x:c r="M85" s="26" t="str">
        <x:v>禁止降低 assertion；禁止 screenshot 自证；禁止把 excluded/quarantine 当 PASS；禁止 fixture 代替 live claim。</x:v>
      </x:c>
      <x:c r="N85" s="26" t="str">
        <x:v>Widget/API/integration 至少全绿；关键 responsive widths；blocked/error/retry/Trace/Return；需要 live 的标为 LIVE_VERIFIED 或明确未验证。</x:v>
      </x:c>
      <x:c r="O85" s="26" t="str">
        <x:v>cd app &amp;&amp; flutter analyze &amp;&amp; flutter test ; python -m pytest tests/test_experience_runtime.py tests/test_experience_e2e_candidate.py -q tests/test_domain_context.py -q ; python scripts/audit_tools/ver ify_experience_authority_exclusive.py ; python scripts/audit_tools/verify_experience_anti_template.py --strict ; python scripts/audit_tools/verify_experience_screen_blueprints.py</x:v>
      </x:c>
    </x:row>
    <x:row r="86" ht="42" customHeight="1">
      <x:c r="A86" s="26" t="n">
        <x:v>92</x:v>
      </x:c>
      <x:c r="B86" s="26" t="n">
        <x:v>82</x:v>
      </x:c>
      <x:c r="C86" s="26" t="str">
        <x:v>SOL-081</x:v>
      </x:c>
      <x:c r="D86" s="26" t="str">
        <x:v>SOL</x:v>
      </x:c>
      <x:c r="E86" s="26" t="str">
        <x:v>BMP-01｜品牌市场总览：Screen Spec 闭合</x:v>
      </x:c>
      <x:c r="F86" s="26" t="n">
        <x:v>9</x:v>
      </x:c>
      <x:c r="G86" s="26" t="str">
        <x:v>golden pages / CTH-02</x:v>
      </x:c>
      <x:c r="H86" s="26" t="str">
        <x:v>PARTIAL</x:v>
      </x:c>
      <x:c r="I86" s="26" t="str">
        <x:v>产品判断/验收</x:v>
      </x:c>
      <x:c r="J86" s="26" t="str">
        <x:v>把 BMP-01 的用户问题、entry/return、PC/mobile composition、真实 fields/actions、state matrix、permission/evidence、acceptance 全部收敛成可施工 Spec。</x:v>
      </x:c>
      <x:c r="K86" s="26" t="str">
        <x:v>Experience Constitution §36 BMP-01 blueprint；contracts/experience/screens/BMP-01/；binding registry；BACKEND-GAP-018；当前 source owner/caller/tests。</x:v>
      </x:c>
      <x:c r="L86" s="26" t="str">
        <x:v>只更新/审核 contracts/experience/screen-specifications/&lt;ID&gt;.md 与必要 binding ledger；产品架构不变。</x:v>
      </x:c>
      <x:c r="M86" s="26" t="str">
        <x:v>禁止从 fixture 推断 production；UNKNOWN owner/API/permission/lineage 必须阻塞相应行为；禁止画成通用 dashboard。</x:v>
      </x:c>
      <x:c r="N86" s="26" t="str">
        <x:v>Spec 明确：品牌中心关系场：audience/creator/channel/competitor 作为市场作用力，不能复用 CTH 时间线。；主操作：聚焦 BrandFocus → 看关系 Evidence → 进入 market/propagation/campaign。；移动：brand puls e + 关系轮播 + source trace。；所有字段/动作有 source 或明确 BLOCKED。</x:v>
      </x:c>
      <x:c r="O86" s="26" t="str">
        <x:v>python scripts/audit_tools/verify_experience_screen_blueprints.py；人工核对 Spec 10 sections 完整，产品 owner approval 记录清楚。</x:v>
      </x:c>
    </x:row>
    <x:row r="87" ht="42" customHeight="1">
      <x:c r="A87" s="26" t="n">
        <x:v>93</x:v>
      </x:c>
      <x:c r="B87" s="26" t="n">
        <x:v>83</x:v>
      </x:c>
      <x:c r="C87" s="26" t="str">
        <x:v>LUNA-082</x:v>
      </x:c>
      <x:c r="D87" s="26" t="str">
        <x:v>LUNA</x:v>
      </x:c>
      <x:c r="E87" s="26" t="str">
        <x:v>BMP-01｜品牌市场总览：Backend / Binding 闭合</x:v>
      </x:c>
      <x:c r="F87" s="26" t="n">
        <x:v>9</x:v>
      </x:c>
      <x:c r="G87" s="26" t="str">
        <x:v>golden pages / CTH-02</x:v>
      </x:c>
      <x:c r="H87" s="26" t="str">
        <x:v>PARTIAL</x:v>
      </x:c>
      <x:c r="I87" s="26" t="str">
        <x:v>源码执行/验证</x:v>
      </x:c>
      <x:c r="J87" s="26" t="str">
        <x:v>仅关闭 BMP-01 依赖的真实后端 binding：复用 canonical owner，把 scope/Permission/Evidence/state 绑定完整；不做 UI。</x:v>
      </x:c>
      <x:c r="K87" s="26" t="str">
        <x:v>已批准 BMP-01 Screen Spec；BACKEND_GAP rows 018；当前 owner/caller/tests；binding registry。</x:v>
      </x:c>
      <x:c r="L87" s="26" t="str">
        <x:v>只改对应 canonical owner、最小 API/ViewModel adapter、contracts 与 targeted tests。</x:v>
      </x:c>
      <x:c r="M87" s="26" t="str">
        <x:v>禁止创建平行 DB/Evidence/Permission/Collector/AI owner；禁止 mock success；禁止 unscoped global data；禁止改 UI composition。</x:v>
      </x:c>
      <x:c r="N87" s="26" t="str">
        <x:v>必须先得到可信 actor + authorized BrandFocus + Evidence lineage，产品级 ZBMP 聚合不能当选中品牌。；成功/空/未采集/离线/拒绝/错误可区分；binding registry 有当前 source evidence；acceptance 仍需 UI/E2E 。</x:v>
      </x:c>
      <x:c r="O87" s="26" t="str">
        <x:v>python -m pytest tests/test_experience_runtime.py tests/test_experience_e2e_candidate.py -q tests/test_bmp_truth_isolation.py -q</x:v>
      </x:c>
    </x:row>
    <x:row r="88" ht="42" customHeight="1">
      <x:c r="A88" s="26" t="n">
        <x:v>94</x:v>
      </x:c>
      <x:c r="B88" s="26" t="n">
        <x:v>84</x:v>
      </x:c>
      <x:c r="C88" s="26" t="str">
        <x:v>LUNA-083</x:v>
      </x:c>
      <x:c r="D88" s="26" t="str">
        <x:v>LUNA</x:v>
      </x:c>
      <x:c r="E88" s="26" t="str">
        <x:v>BMP-01｜品牌市场总览：App UI / UX 实现</x:v>
      </x:c>
      <x:c r="F88" s="26" t="n">
        <x:v>9</x:v>
      </x:c>
      <x:c r="G88" s="26" t="str">
        <x:v>golden pages / CTH-02</x:v>
      </x:c>
      <x:c r="H88" s="26" t="str">
        <x:v>PARTIAL</x:v>
      </x:c>
      <x:c r="I88" s="26" t="str">
        <x:v>源码执行/验证</x:v>
      </x:c>
      <x:c r="J88" s="26" t="str">
        <x:v>在 backend contract 已可信后，实现 BMP-01 的 purpose-built Flutter Experience。用户只看到任务、内容、结果与操 作，系统内部 owner/tool/evidence contract 退到产品背后。</x:v>
      </x:c>
      <x:c r="K88" s="26" t="str">
        <x:v>已批准 BMP-01 Spec；typed ViewModel/API；Experience Constitution；shared primitives whitelist；本页草图。</x:v>
      </x:c>
      <x:c r="L88" s="26" t="str">
        <x:v>仅 app/lib/features/bmp01/** + app/test/features/bmp01/**；必要时只复用已批准 shared primitives。</x:v>
      </x:c>
      <x:c r="M88" s="26" t="str">
        <x:v>禁止 generic renderer / Bento / KPI wall / SaaS dashboard / 换标题复用；禁止改 backend truth；禁止假数据；禁止 PC 缩放成 mobile。</x:v>
      </x:c>
      <x:c r="N88" s="26" t="str">
        <x:v>PC 与 mobile 均表达：品牌中心关系场：audience/creator/channel/competitor 作为市场作用力，不能复用 CTH 时间线。 ；主交互完成：聚焦 BrandFocus → 看关系 Evidence → 进入 market/propagation/campaign。；mobile 重组：brand pul se + 关系轮播 + source trace。；状态/Trace/Return/keyboard/touch/semantics 完整。</x:v>
      </x:c>
      <x:c r="O88" s="26" t="str">
        <x:v>cd app &amp;&amp; flutter analyze &amp;&amp; flutter test ; python scripts/audit_tools/verify_experience_anti_template.py --st rict</x:v>
      </x:c>
    </x:row>
    <x:row r="89" ht="42" customHeight="1">
      <x:c r="A89" s="26" t="n">
        <x:v>95</x:v>
      </x:c>
      <x:c r="B89" s="26" t="n">
        <x:v>85</x:v>
      </x:c>
      <x:c r="C89" s="26" t="str">
        <x:v>LUNA-084</x:v>
      </x:c>
      <x:c r="D89" s="26" t="str">
        <x:v>LUNA</x:v>
      </x:c>
      <x:c r="E89" s="26" t="str">
        <x:v>BMP-01｜品牌市场总览：Acceptance / E2E 证据</x:v>
      </x:c>
      <x:c r="F89" s="26" t="n">
        <x:v>9</x:v>
      </x:c>
      <x:c r="G89" s="26" t="str">
        <x:v>golden pages / CTH-02</x:v>
      </x:c>
      <x:c r="H89" s="26" t="str">
        <x:v>PARTIAL</x:v>
      </x:c>
      <x:c r="I89" s="26" t="str">
        <x:v>源码执行/验证</x:v>
      </x:c>
      <x:c r="J89" s="26" t="str">
        <x:v>独立验证 BMP-01 的真实用户任务，从 App action 到 API/Permission/Canonical/Evidence/result/Return，不以“页面能渲染”作为完成。</x:v>
      </x:c>
      <x:c r="K89" s="26" t="str">
        <x:v>BMP-01 Spec acceptance IDs；Flutter tests；backend tests；runtime/E2E harness；真实/隔离数据按 tier 使用。</x:v>
      </x:c>
      <x:c r="L89" s="26" t="str">
        <x:v>只补测试、测试辅助与明确 bug fix；若发现实现问题回修本 screen owner。</x:v>
      </x:c>
      <x:c r="M89" s="26" t="str">
        <x:v>禁止降低 assertion；禁止 screenshot 自证；禁止把 excluded/quarantine 当 PASS；禁止 fixture 代替 live claim。</x:v>
      </x:c>
      <x:c r="N89" s="26" t="str">
        <x:v>Widget/API/integration 至少全绿；关键 responsive widths；blocked/error/retry/Trace/Return；需要 live 的标为 LIVE_VERIFIED 或明确未验证。</x:v>
      </x:c>
      <x:c r="O89" s="26" t="str">
        <x:v>cd app &amp;&amp; flutter analyze &amp;&amp; flutter test ; python -m pytest tests/test_experience_runtime.py tests/test_experience_e2e_candidate.py -q tests/test_bmp_truth_isolation.py -q ; python scripts/audit_tool s/verify_experience_authority_exclusive.py ; python scripts/audit_tools/verify_experience_anti_template.py --strict ; python scripts/audit_tools/verify_experience_screen_blueprints.py</x:v>
      </x:c>
    </x:row>
    <x:row r="90" ht="42" customHeight="1">
      <x:c r="A90" s="26" t="n">
        <x:v>96</x:v>
      </x:c>
      <x:c r="B90" s="26" t="n">
        <x:v>86</x:v>
      </x:c>
      <x:c r="C90" s="26" t="str">
        <x:v>SOL-085</x:v>
      </x:c>
      <x:c r="D90" s="26" t="str">
        <x:v>SOL</x:v>
      </x:c>
      <x:c r="E90" s="26" t="str">
        <x:v>BMP-02｜品牌组合与竞品：Screen Spec 闭合</x:v>
      </x:c>
      <x:c r="F90" s="26" t="n">
        <x:v>12</x:v>
      </x:c>
      <x:c r="G90" s="26" t="str">
        <x:v>BMP portfolio / market / propagation</x:v>
      </x:c>
      <x:c r="H90" s="26" t="str">
        <x:v>ABSENT</x:v>
      </x:c>
      <x:c r="I90" s="26" t="str">
        <x:v>产品判断/验收</x:v>
      </x:c>
      <x:c r="J90" s="26" t="str">
        <x:v>把 BMP-02 的用户问题、entry/return、PC/mobile composition、真实 fields/actions、state matrix、permission/evidence、acceptance 全部收敛成可施工 Spec。</x:v>
      </x:c>
      <x:c r="K90" s="26" t="str">
        <x:v>Experience Constitution §36 BMP-02 blueprint；contracts/experience/screens/BMP-02/；binding registry；BACKEND-GAP-019；当前 source owner/caller/tests。</x:v>
      </x:c>
      <x:c r="L90" s="26" t="str">
        <x:v>只更新/审核 contracts/experience/screen-specifications/&lt;ID&gt;.md 与必要 binding ledger；产品架构不变。</x:v>
      </x:c>
      <x:c r="M90" s="26" t="str">
        <x:v>禁止从 fixture 推断 production；UNKNOWN owner/API/permission/lineage 必须阻塞相应行为；禁止画成通用 dashboard。</x:v>
      </x:c>
      <x:c r="N90" s="26" t="str">
        <x:v>Spec 明确：Owned brand 与 competitor 的 portfolio constellation；类别与身份围绕品牌。；主操作：比较/聚焦品牌；context switch 显式并可 Return。；移动：搜索 portfolio → brand profile → competitor chip s。；所有字段/动作有 source 或明确 BLOCKED。</x:v>
      </x:c>
      <x:c r="O90" s="26" t="str">
        <x:v>python scripts/audit_tools/verify_experience_screen_blueprints.py；人工核对 Spec 10 sections 完整，产品 owner approval 记录清楚。</x:v>
      </x:c>
    </x:row>
    <x:row r="91" ht="42" customHeight="1">
      <x:c r="A91" s="26" t="n">
        <x:v>97</x:v>
      </x:c>
      <x:c r="B91" s="26" t="n">
        <x:v>87</x:v>
      </x:c>
      <x:c r="C91" s="26" t="str">
        <x:v>LUNA-086</x:v>
      </x:c>
      <x:c r="D91" s="26" t="str">
        <x:v>LUNA</x:v>
      </x:c>
      <x:c r="E91" s="26" t="str">
        <x:v>BMP-02｜品牌组合与竞品：Backend / Binding 闭合</x:v>
      </x:c>
      <x:c r="F91" s="26" t="n">
        <x:v>12</x:v>
      </x:c>
      <x:c r="G91" s="26" t="str">
        <x:v>BMP portfolio / market / propagation</x:v>
      </x:c>
      <x:c r="H91" s="26" t="str">
        <x:v>PARTIAL</x:v>
      </x:c>
      <x:c r="I91" s="26" t="str">
        <x:v>源码执行/验证</x:v>
      </x:c>
      <x:c r="J91" s="26" t="str">
        <x:v>仅关闭 BMP-02 依赖的真实后端 binding：复用 canonical owner，把 scope/Permission/Evidence/state 绑定完整；不做 UI。</x:v>
      </x:c>
      <x:c r="K91" s="26" t="str">
        <x:v>已批准 BMP-02 Screen Spec；BACKEND_GAP rows 019；当前 owner/caller/tests；binding registry。</x:v>
      </x:c>
      <x:c r="L91" s="26" t="str">
        <x:v>只改对应 canonical owner、最小 API/ViewModel adapter、contracts 与 targeted tests。</x:v>
      </x:c>
      <x:c r="M91" s="26" t="str">
        <x:v>禁止创建平行 DB/Evidence/Permission/Collector/AI owner；禁止 mock success；禁止 unscoped global data；禁止改 UI composition。</x:v>
      </x:c>
      <x:c r="N91" s="26" t="str">
        <x:v>复用 curated directory；真实品牌指标必须来自 BrandFocus scoped canonical BMP source。；成功/空/未采集/离线/拒绝/错误可区分；binding registry 有当前 source evidence；acceptance 仍需 UI/E2E。</x:v>
      </x:c>
      <x:c r="O91" s="26" t="str">
        <x:v>python -m pytest tests/test_experience_runtime.py tests/test_experience_e2e_candidate.py -q tests/test_bmp_truth_isolation.py -q</x:v>
      </x:c>
    </x:row>
    <x:row r="92" ht="42" customHeight="1">
      <x:c r="A92" s="26" t="n">
        <x:v>98</x:v>
      </x:c>
      <x:c r="B92" s="26" t="n">
        <x:v>88</x:v>
      </x:c>
      <x:c r="C92" s="26" t="str">
        <x:v>LUNA-087</x:v>
      </x:c>
      <x:c r="D92" s="26" t="str">
        <x:v>LUNA</x:v>
      </x:c>
      <x:c r="E92" s="26" t="str">
        <x:v>BMP-02｜品牌组合与竞品：App UI / UX 实现</x:v>
      </x:c>
      <x:c r="F92" s="26" t="n">
        <x:v>12</x:v>
      </x:c>
      <x:c r="G92" s="26" t="str">
        <x:v>BMP portfolio / market / propagation</x:v>
      </x:c>
      <x:c r="H92" s="26" t="str">
        <x:v>ABSENT</x:v>
      </x:c>
      <x:c r="I92" s="26" t="str">
        <x:v>源码执行/验证</x:v>
      </x:c>
      <x:c r="J92" s="26" t="str">
        <x:v>在 backend contract 已可信后，实现 BMP-02 的 purpose-built Flutter Experience。用户只看到任务、内容、结果与操 作，系统内部 owner/tool/evidence contract 退到产品背后。</x:v>
      </x:c>
      <x:c r="K92" s="26" t="str">
        <x:v>已批准 BMP-02 Spec；typed ViewModel/API；Experience Constitution；shared primitives whitelist；本页草图。</x:v>
      </x:c>
      <x:c r="L92" s="26" t="str">
        <x:v>仅 app/lib/features/bmp/**/bmp02/** (或 Sol 审核后的同 owner feature slice) + matching app/test/**；必要时只复 用已批准 shared primitives。</x:v>
      </x:c>
      <x:c r="M92" s="26" t="str">
        <x:v>禁止 generic renderer / Bento / KPI wall / SaaS dashboard / 换标题复用；禁止改 backend truth；禁止假数据；禁止 PC 缩放成 mobile。</x:v>
      </x:c>
      <x:c r="N92" s="26" t="str">
        <x:v>PC 与 mobile 均表达：Owned brand 与 competitor 的 portfolio constellation；类别与身份围绕品牌。；主交互完成： 比较/聚焦品牌；context switch 显式并可 Return。；mobile 重组：搜索 portfolio → brand profile → competitor ch ips。；状态/Trace/Return/keyboard/touch/semantics 完整。</x:v>
      </x:c>
      <x:c r="O92" s="26" t="str">
        <x:v>cd app &amp;&amp; flutter analyze &amp;&amp; flutter test ; python scripts/audit_tools/verify_experience_anti_template.py --st rict</x:v>
      </x:c>
    </x:row>
    <x:row r="93" ht="42" customHeight="1">
      <x:c r="A93" s="26" t="n">
        <x:v>99</x:v>
      </x:c>
      <x:c r="B93" s="26" t="n">
        <x:v>89</x:v>
      </x:c>
      <x:c r="C93" s="26" t="str">
        <x:v>LUNA-088</x:v>
      </x:c>
      <x:c r="D93" s="26" t="str">
        <x:v>LUNA</x:v>
      </x:c>
      <x:c r="E93" s="26" t="str">
        <x:v>BMP-02｜品牌组合与竞品：Acceptance / E2E 证据</x:v>
      </x:c>
      <x:c r="F93" s="26" t="n">
        <x:v>12</x:v>
      </x:c>
      <x:c r="G93" s="26" t="str">
        <x:v>BMP portfolio / market / propagation</x:v>
      </x:c>
      <x:c r="H93" s="26" t="str">
        <x:v>ABSENT</x:v>
      </x:c>
      <x:c r="I93" s="26" t="str">
        <x:v>源码执行/验证</x:v>
      </x:c>
      <x:c r="J93" s="26" t="str">
        <x:v>独立验证 BMP-02 的真实用户任务，从 App action 到 API/Permission/Canonical/Evidence/result/Return，不以“页面能渲染”作为完成。</x:v>
      </x:c>
      <x:c r="K93" s="26" t="str">
        <x:v>BMP-02 Spec acceptance IDs；Flutter tests；backend tests；runtime/E2E harness；真实/隔离数据按 tier 使用。</x:v>
      </x:c>
      <x:c r="L93" s="26" t="str">
        <x:v>只补测试、测试辅助与明确 bug fix；若发现实现问题回修本 screen owner。</x:v>
      </x:c>
      <x:c r="M93" s="26" t="str">
        <x:v>禁止降低 assertion；禁止 screenshot 自证；禁止把 excluded/quarantine 当 PASS；禁止 fixture 代替 live claim。</x:v>
      </x:c>
      <x:c r="N93" s="26" t="str">
        <x:v>Widget/API/integration 至少全绿；关键 responsive widths；blocked/error/retry/Trace/Return；需要 live 的标为 LIVE_VERIFIED 或明确未验证。</x:v>
      </x:c>
      <x:c r="O93" s="26" t="str">
        <x:v>cd app &amp;&amp; flutter analyze &amp;&amp; flutter test ; python -m pytest tests/test_experience_runtime.py tests/test_experience_e2e_candidate.py -q tests/test_bmp_truth_isolation.py -q ; python scripts/audit_tool s/verify_experience_authority_exclusive.py ; python scripts/audit_tools/verify_experience_anti_template.py --strict ; python scripts/audit_tools/verify_experience_screen_blueprints.py</x:v>
      </x:c>
    </x:row>
    <x:row r="94" ht="42" customHeight="1">
      <x:c r="A94" s="26" t="n">
        <x:v>100</x:v>
      </x:c>
      <x:c r="B94" s="26" t="n">
        <x:v>90</x:v>
      </x:c>
      <x:c r="C94" s="26" t="str">
        <x:v>SOL-089</x:v>
      </x:c>
      <x:c r="D94" s="26" t="str">
        <x:v>SOL</x:v>
      </x:c>
      <x:c r="E94" s="26" t="str">
        <x:v>BMP-03｜市场情报：Screen Spec 闭合</x:v>
      </x:c>
      <x:c r="F94" s="26" t="n">
        <x:v>12</x:v>
      </x:c>
      <x:c r="G94" s="26" t="str">
        <x:v>BMP portfolio / market / propagation</x:v>
      </x:c>
      <x:c r="H94" s="26" t="str">
        <x:v>ABSENT</x:v>
      </x:c>
      <x:c r="I94" s="26" t="str">
        <x:v>产品判断/验收</x:v>
      </x:c>
      <x:c r="J94" s="26" t="str">
        <x:v>把 BMP-03 的用户问题、entry/return、PC/mobile composition、真实 fields/actions、state matrix、permission/evidence、acceptance 全部收敛成可施工 Spec。</x:v>
      </x:c>
      <x:c r="K94" s="26" t="str">
        <x:v>Experience Constitution §36 BMP-03 blueprint；contracts/experience/screens/BMP-03/；binding registry；BACKEND-GAP-020；当前 source owner/caller/tests。</x:v>
      </x:c>
      <x:c r="L94" s="26" t="str">
        <x:v>只更新/审核 contracts/experience/screen-specifications/&lt;ID&gt;.md 与必要 binding ledger；产品架构不变。</x:v>
      </x:c>
      <x:c r="M94" s="26" t="str">
        <x:v>禁止从 fixture 推断 production；UNKNOWN owner/API/permission/lineage 必须阻塞相应行为；禁止画成通用 dashboard。</x:v>
      </x:c>
      <x:c r="N94" s="26" t="str">
        <x:v>Spec 明确：机会雷达按主题 momentum 与 evidence confidence 组织；选中信号旁是 source brief。；主操作：过滤市场窗口 → 看 provenance → 标记待复核 lead。；移动：机会 feed + source reader。；所有字段/动 作有 source 或明确 BLOCKED。</x:v>
      </x:c>
      <x:c r="O94" s="26" t="str">
        <x:v>python scripts/audit_tools/verify_experience_screen_blueprints.py；人工核对 Spec 10 sections 完整，产品 owner approval 记录清楚。</x:v>
      </x:c>
    </x:row>
    <x:row r="95" ht="42" customHeight="1">
      <x:c r="A95" s="26" t="n">
        <x:v>101</x:v>
      </x:c>
      <x:c r="B95" s="26" t="n">
        <x:v>91</x:v>
      </x:c>
      <x:c r="C95" s="26" t="str">
        <x:v>LUNA-090</x:v>
      </x:c>
      <x:c r="D95" s="26" t="str">
        <x:v>LUNA</x:v>
      </x:c>
      <x:c r="E95" s="26" t="str">
        <x:v>BMP-03｜市场情报：Backend / Binding 闭合</x:v>
      </x:c>
      <x:c r="F95" s="26" t="n">
        <x:v>12</x:v>
      </x:c>
      <x:c r="G95" s="26" t="str">
        <x:v>BMP portfolio / market / propagation</x:v>
      </x:c>
      <x:c r="H95" s="26" t="str">
        <x:v>PARTIAL</x:v>
      </x:c>
      <x:c r="I95" s="26" t="str">
        <x:v>源码执行/验证</x:v>
      </x:c>
      <x:c r="J95" s="26" t="str">
        <x:v>仅关闭 BMP-03 依赖的真实后端 binding：复用 canonical owner，把 scope/Permission/Evidence/state 绑定完整；不做 UI。</x:v>
      </x:c>
      <x:c r="K95" s="26" t="str">
        <x:v>已批准 BMP-03 Screen Spec；BACKEND_GAP rows 020；当前 owner/caller/tests；binding registry。</x:v>
      </x:c>
      <x:c r="L95" s="26" t="str">
        <x:v>只改对应 canonical owner、最小 API/ViewModel adapter、contracts 与 targeted tests。</x:v>
      </x:c>
      <x:c r="M95" s="26" t="str">
        <x:v>禁止创建平行 DB/Evidence/Permission/Collector/AI owner；禁止 mock success；禁止 unscoped global data；禁止改 UI composition。</x:v>
      </x:c>
      <x:c r="N95" s="26" t="str">
        <x:v>当前 intelligence_assets 跨 scope；在现有 owner 过滤 domain/brand 并附 item Evidence。；成功/空/未采集/离线/拒绝/错误可区分；binding registry 有当前 source evidence；acceptance 仍需 UI/E2E。</x:v>
      </x:c>
      <x:c r="O95" s="26" t="str">
        <x:v>python -m pytest tests/test_experience_runtime.py tests/test_experience_e2e_candidate.py -q tests/test_bmp_truth_isolation.py -q</x:v>
      </x:c>
    </x:row>
    <x:row r="96" ht="42" customHeight="1">
      <x:c r="A96" s="26" t="n">
        <x:v>102</x:v>
      </x:c>
      <x:c r="B96" s="26" t="n">
        <x:v>92</x:v>
      </x:c>
      <x:c r="C96" s="26" t="str">
        <x:v>LUNA-091</x:v>
      </x:c>
      <x:c r="D96" s="26" t="str">
        <x:v>LUNA</x:v>
      </x:c>
      <x:c r="E96" s="26" t="str">
        <x:v>BMP-03｜市场情报：App UI / UX 实现</x:v>
      </x:c>
      <x:c r="F96" s="26" t="n">
        <x:v>12</x:v>
      </x:c>
      <x:c r="G96" s="26" t="str">
        <x:v>BMP portfolio / market / propagation</x:v>
      </x:c>
      <x:c r="H96" s="26" t="str">
        <x:v>ABSENT</x:v>
      </x:c>
      <x:c r="I96" s="26" t="str">
        <x:v>源码执行/验证</x:v>
      </x:c>
      <x:c r="J96" s="26" t="str">
        <x:v>在 backend contract 已可信后，实现 BMP-03 的 purpose-built Flutter Experience。用户只看到任务、内容、结果与操 作，系统内部 owner/tool/evidence contract 退到产品背后。</x:v>
      </x:c>
      <x:c r="K96" s="26" t="str">
        <x:v>已批准 BMP-03 Spec；typed ViewModel/API；Experience Constitution；shared primitives whitelist；本页草图。</x:v>
      </x:c>
      <x:c r="L96" s="26" t="str">
        <x:v>仅 app/lib/features/bmp/**/bmp03/** (或 Sol 审核后的同 owner feature slice) + matching app/test/**；必要时只复 用已批准 shared primitives。</x:v>
      </x:c>
      <x:c r="M96" s="26" t="str">
        <x:v>禁止 generic renderer / Bento / KPI wall / SaaS dashboard / 换标题复用；禁止改 backend truth；禁止假数据；禁止 PC 缩放成 mobile。</x:v>
      </x:c>
      <x:c r="N96" s="26" t="str">
        <x:v>PC 与 mobile 均表达：机会雷达按主题 momentum 与 evidence confidence 组织；选中信号旁是 source brief。；主交互 完成：过滤市场窗口 → 看 provenance → 标记待复核 lead。；mobile 重组：机会 feed + source reader。；状态/Trace /Return/keyboard/touch/semantics 完整。</x:v>
      </x:c>
      <x:c r="O96" s="26" t="str">
        <x:v>cd app &amp;&amp; flutter analyze &amp;&amp; flutter test ; python scripts/audit_tools/verify_experience_anti_template.py --st rict</x:v>
      </x:c>
    </x:row>
    <x:row r="97" ht="42" customHeight="1">
      <x:c r="A97" s="26" t="n">
        <x:v>103</x:v>
      </x:c>
      <x:c r="B97" s="26" t="n">
        <x:v>93</x:v>
      </x:c>
      <x:c r="C97" s="26" t="str">
        <x:v>LUNA-092</x:v>
      </x:c>
      <x:c r="D97" s="26" t="str">
        <x:v>LUNA</x:v>
      </x:c>
      <x:c r="E97" s="26" t="str">
        <x:v>BMP-03｜市场情报：Acceptance / E2E 证据</x:v>
      </x:c>
      <x:c r="F97" s="26" t="n">
        <x:v>12</x:v>
      </x:c>
      <x:c r="G97" s="26" t="str">
        <x:v>BMP portfolio / market / propagation</x:v>
      </x:c>
      <x:c r="H97" s="26" t="str">
        <x:v>ABSENT</x:v>
      </x:c>
      <x:c r="I97" s="26" t="str">
        <x:v>源码执行/验证</x:v>
      </x:c>
      <x:c r="J97" s="26" t="str">
        <x:v>独立验证 BMP-03 的真实用户任务，从 App action 到 API/Permission/Canonical/Evidence/result/Return，不以“页面能渲染”作为完成。</x:v>
      </x:c>
      <x:c r="K97" s="26" t="str">
        <x:v>BMP-03 Spec acceptance IDs；Flutter tests；backend tests；runtime/E2E harness；真实/隔离数据按 tier 使用。</x:v>
      </x:c>
      <x:c r="L97" s="26" t="str">
        <x:v>只补测试、测试辅助与明确 bug fix；若发现实现问题回修本 screen owner。</x:v>
      </x:c>
      <x:c r="M97" s="26" t="str">
        <x:v>禁止降低 assertion；禁止 screenshot 自证；禁止把 excluded/quarantine 当 PASS；禁止 fixture 代替 live claim。</x:v>
      </x:c>
      <x:c r="N97" s="26" t="str">
        <x:v>Widget/API/integration 至少全绿；关键 responsive widths；blocked/error/retry/Trace/Return；需要 live 的标为 LIVE_VERIFIED 或明确未验证。</x:v>
      </x:c>
      <x:c r="O97" s="26" t="str">
        <x:v>cd app &amp;&amp; flutter analyze &amp;&amp; flutter test ; python -m pytest tests/test_experience_runtime.py tests/test_experience_e2e_candidate.py -q tests/test_bmp_truth_isolation.py -q ; python scripts/audit_tool s/verify_experience_authority_exclusive.py ; python scripts/audit_tools/verify_experience_anti_template.py --strict ; python scripts/audit_tools/verify_experience_screen_blueprints.py</x:v>
      </x:c>
    </x:row>
    <x:row r="98" ht="42" customHeight="1">
      <x:c r="A98" s="26" t="n">
        <x:v>104</x:v>
      </x:c>
      <x:c r="B98" s="26" t="n">
        <x:v>94</x:v>
      </x:c>
      <x:c r="C98" s="26" t="str">
        <x:v>SOL-093</x:v>
      </x:c>
      <x:c r="D98" s="26" t="str">
        <x:v>SOL</x:v>
      </x:c>
      <x:c r="E98" s="26" t="str">
        <x:v>BMP-04｜媒体传播分析：Screen Spec 闭合</x:v>
      </x:c>
      <x:c r="F98" s="26" t="n">
        <x:v>12</x:v>
      </x:c>
      <x:c r="G98" s="26" t="str">
        <x:v>BMP portfolio / market / propagation</x:v>
      </x:c>
      <x:c r="H98" s="26" t="str">
        <x:v>ABSENT</x:v>
      </x:c>
      <x:c r="I98" s="26" t="str">
        <x:v>产品判断/验收</x:v>
      </x:c>
      <x:c r="J98" s="26" t="str">
        <x:v>把 BMP-04 的用户问题、entry/return、PC/mobile composition、真实 fields/actions、state matrix、permission/evidence、acceptance 全部收敛成可施工 Spec。</x:v>
      </x:c>
      <x:c r="K98" s="26" t="str">
        <x:v>Experience Constitution §36 BMP-04 blueprint；contracts/experience/screens/BMP-04/；binding registry；BACKEND-GAP-021；当前 source owner/caller/tests。</x:v>
      </x:c>
      <x:c r="L98" s="26" t="str">
        <x:v>只更新/审核 contracts/experience/screen-specifications/&lt;ID&gt;.md 与必要 binding ledger；产品架构不变。</x:v>
      </x:c>
      <x:c r="M98" s="26" t="str">
        <x:v>禁止从 fixture 推断 production；UNKNOWN owner/API/permission/lineage 必须阻塞相应行为；禁止画成通用 dashboard。</x:v>
      </x:c>
      <x:c r="N98" s="26" t="str">
        <x:v>Spec 明确：channel → content → exposure → response 的传播河流与统一时间窗。；主操作：追踪 campaign/content → 看每个平台 source、metric 定义、freshness。；移动：纵向 funnel + channel selector + met ric/source detail。；所有字段/动作有 source 或明确 BLOCKED。</x:v>
      </x:c>
      <x:c r="O98" s="26" t="str">
        <x:v>python scripts/audit_tools/verify_experience_screen_blueprints.py；人工核对 Spec 10 sections 完整，产品 owner approval 记录清楚。</x:v>
      </x:c>
    </x:row>
    <x:row r="99" ht="42" customHeight="1">
      <x:c r="A99" s="26" t="n">
        <x:v>105</x:v>
      </x:c>
      <x:c r="B99" s="26" t="n">
        <x:v>95</x:v>
      </x:c>
      <x:c r="C99" s="26" t="str">
        <x:v>LUNA-094</x:v>
      </x:c>
      <x:c r="D99" s="26" t="str">
        <x:v>LUNA</x:v>
      </x:c>
      <x:c r="E99" s="26" t="str">
        <x:v>BMP-04｜媒体传播分析：Backend / Binding 闭合</x:v>
      </x:c>
      <x:c r="F99" s="26" t="n">
        <x:v>12</x:v>
      </x:c>
      <x:c r="G99" s="26" t="str">
        <x:v>BMP portfolio / market / propagation</x:v>
      </x:c>
      <x:c r="H99" s="26" t="str">
        <x:v>PARTIAL</x:v>
      </x:c>
      <x:c r="I99" s="26" t="str">
        <x:v>源码执行/验证</x:v>
      </x:c>
      <x:c r="J99" s="26" t="str">
        <x:v>仅关闭 BMP-04 依赖的真实后端 binding：复用 canonical owner，把 scope/Permission/Evidence/state 绑定完整；不做 UI。</x:v>
      </x:c>
      <x:c r="K99" s="26" t="str">
        <x:v>已批准 BMP-04 Screen Spec；BACKEND_GAP rows 021；当前 owner/caller/tests；binding registry。</x:v>
      </x:c>
      <x:c r="L99" s="26" t="str">
        <x:v>只改对应 canonical owner、最小 API/ViewModel adapter、contracts 与 targeted tests。</x:v>
      </x:c>
      <x:c r="M99" s="26" t="str">
        <x:v>禁止创建平行 DB/Evidence/Permission/Collector/AI owner；禁止 mock success；禁止 unscoped global data；禁止改 UI composition。</x:v>
      </x:c>
      <x:c r="N99" s="26" t="str">
        <x:v>现有 brand_propagation 读无 BrandFocus 且 GET 可有 schema side effect；先做 side-effect-free scoped read。；成功/空/未采集/离线/拒绝/错误可区分；binding registry 有当前 source evidence；acceptance 仍 需 UI/E2E。</x:v>
      </x:c>
      <x:c r="O99" s="26" t="str">
        <x:v>python -m pytest tests/test_experience_runtime.py tests/test_experience_e2e_candidate.py -q tests/test_bmp_truth_isolation.py -q</x:v>
      </x:c>
    </x:row>
    <x:row r="100" ht="42" customHeight="1">
      <x:c r="A100" s="26" t="n">
        <x:v>106</x:v>
      </x:c>
      <x:c r="B100" s="26" t="n">
        <x:v>96</x:v>
      </x:c>
      <x:c r="C100" s="26" t="str">
        <x:v>LUNA-095</x:v>
      </x:c>
      <x:c r="D100" s="26" t="str">
        <x:v>LUNA</x:v>
      </x:c>
      <x:c r="E100" s="26" t="str">
        <x:v>BMP-04｜媒体传播分析：App UI / UX 实现</x:v>
      </x:c>
      <x:c r="F100" s="26" t="n">
        <x:v>12</x:v>
      </x:c>
      <x:c r="G100" s="26" t="str">
        <x:v>BMP portfolio / market / propagation</x:v>
      </x:c>
      <x:c r="H100" s="26" t="str">
        <x:v>ABSENT</x:v>
      </x:c>
      <x:c r="I100" s="26" t="str">
        <x:v>源码执行/验证</x:v>
      </x:c>
      <x:c r="J100" s="26" t="str">
        <x:v>在 backend contract 已可信后，实现 BMP-04 的 purpose-built Flutter Experience。用户只看到任务、内容、结果与操 作，系统内部 owner/tool/evidence contract 退到产品背后。</x:v>
      </x:c>
      <x:c r="K100" s="26" t="str">
        <x:v>已批准 BMP-04 Spec；typed ViewModel/API；Experience Constitution；shared primitives whitelist；本页草图。</x:v>
      </x:c>
      <x:c r="L100" s="26" t="str">
        <x:v>仅 app/lib/features/bmp/**/bmp04/** (或 Sol 审核后的同 owner feature slice) + matching app/test/**；必要时只复 用已批准 shared primitives。</x:v>
      </x:c>
      <x:c r="M100" s="26" t="str">
        <x:v>禁止 generic renderer / Bento / KPI wall / SaaS dashboard / 换标题复用；禁止改 backend truth；禁止假数据；禁止 PC 缩放成 mobile。</x:v>
      </x:c>
      <x:c r="N100" s="26" t="str">
        <x:v>PC 与 mobile 均表达：channel → content → exposure → response 的传播河流与统一时间窗。；主交互完成：追踪 cam paign/content → 看每个平台 source、metric 定义、freshness。；mobile 重组：纵向 funnel + channel selector + me tric/source detail。；状态/Trace/Return/keyboard/touch/semantics 完整。</x:v>
      </x:c>
      <x:c r="O100" s="26" t="str">
        <x:v>cd app &amp;&amp; flutter analyze &amp;&amp; flutter test ; python scripts/audit_tools/verify_experience_anti_template.py --st rict</x:v>
      </x:c>
    </x:row>
    <x:row r="101" ht="42" customHeight="1">
      <x:c r="A101" s="26" t="n">
        <x:v>107</x:v>
      </x:c>
      <x:c r="B101" s="26" t="n">
        <x:v>97</x:v>
      </x:c>
      <x:c r="C101" s="26" t="str">
        <x:v>LUNA-096</x:v>
      </x:c>
      <x:c r="D101" s="26" t="str">
        <x:v>LUNA</x:v>
      </x:c>
      <x:c r="E101" s="26" t="str">
        <x:v>BMP-04｜媒体传播分析：Acceptance / E2E 证据</x:v>
      </x:c>
      <x:c r="F101" s="26" t="n">
        <x:v>12</x:v>
      </x:c>
      <x:c r="G101" s="26" t="str">
        <x:v>BMP portfolio / market / propagation</x:v>
      </x:c>
      <x:c r="H101" s="26" t="str">
        <x:v>ABSENT</x:v>
      </x:c>
      <x:c r="I101" s="26" t="str">
        <x:v>源码执行/验证</x:v>
      </x:c>
      <x:c r="J101" s="26" t="str">
        <x:v>独立验证 BMP-04 的真实用户任务，从 App action 到 API/Permission/Canonical/Evidence/result/Return，不以“页面能渲染”作为完成。</x:v>
      </x:c>
      <x:c r="K101" s="26" t="str">
        <x:v>BMP-04 Spec acceptance IDs；Flutter tests；backend tests；runtime/E2E harness；真实/隔离数据按 tier 使用。</x:v>
      </x:c>
      <x:c r="L101" s="26" t="str">
        <x:v>只补测试、测试辅助与明确 bug fix；若发现实现问题回修本 screen owner。</x:v>
      </x:c>
      <x:c r="M101" s="26" t="str">
        <x:v>禁止降低 assertion；禁止 screenshot 自证；禁止把 excluded/quarantine 当 PASS；禁止 fixture 代替 live claim。</x:v>
      </x:c>
      <x:c r="N101" s="26" t="str">
        <x:v>Widget/API/integration 至少全绿；关键 responsive widths；blocked/error/retry/Trace/Return；需要 live 的标为 LIVE_VERIFIED 或明确未验证。</x:v>
      </x:c>
      <x:c r="O101" s="26" t="str">
        <x:v>cd app &amp;&amp; flutter analyze &amp;&amp; flutter test ; python -m pytest tests/test_experience_runtime.py tests/test_experience_e2e_candidate.py -q tests/test_bmp_truth_isolation.py -q ; python scripts/audit_tool s/verify_experience_authority_exclusive.py ; python scripts/audit_tools/verify_experience_anti_template.py --strict ; python scripts/audit_tools/verify_experience_screen_blueprints.py</x:v>
      </x:c>
    </x:row>
    <x:row r="102" ht="42" customHeight="1">
      <x:c r="A102" s="26" t="n">
        <x:v>108</x:v>
      </x:c>
      <x:c r="B102" s="26" t="n">
        <x:v>98</x:v>
      </x:c>
      <x:c r="C102" s="26" t="str">
        <x:v>SOL-097</x:v>
      </x:c>
      <x:c r="D102" s="26" t="str">
        <x:v>SOL</x:v>
      </x:c>
      <x:c r="E102" s="26" t="str">
        <x:v>BMP-05｜创作者生态：Screen Spec 闭合</x:v>
      </x:c>
      <x:c r="F102" s="26" t="n">
        <x:v>12</x:v>
      </x:c>
      <x:c r="G102" s="26" t="str">
        <x:v>BMP portfolio / market / propagation</x:v>
      </x:c>
      <x:c r="H102" s="26" t="str">
        <x:v>ABSENT</x:v>
      </x:c>
      <x:c r="I102" s="26" t="str">
        <x:v>产品判断/验收</x:v>
      </x:c>
      <x:c r="J102" s="26" t="str">
        <x:v>把 BMP-05 的用户问题、entry/return、PC/mobile composition、真实 fields/actions、state matrix、permission/evidence、acceptance 全部收敛成可施工 Spec。</x:v>
      </x:c>
      <x:c r="K102" s="26" t="str">
        <x:v>Experience Constitution §36 BMP-05 blueprint；contracts/experience/screens/BMP-05/；binding registry；BACKEND-GAP-022；当前 source owner/caller/tests。</x:v>
      </x:c>
      <x:c r="L102" s="26" t="str">
        <x:v>只更新/审核 contracts/experience/screen-specifications/&lt;ID&gt;.md 与必要 binding ledger；产品架构不变。</x:v>
      </x:c>
      <x:c r="M102" s="26" t="str">
        <x:v>禁止从 fixture 推断 production；UNKNOWN owner/API/permission/lineage 必须阻塞相应行为；禁止画成通用 dashboard。</x:v>
      </x:c>
      <x:c r="N102" s="26" t="str">
        <x:v>Spec 明确：KOS/KOL/KOC/UGC creator graph，按 audience fit、真实性、贡献、风险；辅以审计表。；主操作：打开 creator dossier → 比较贡献 → 记录风险/加入授权 campaign。；移动：creator cards + dossier det ail。；所有字段/动作有 source 或明确 BLOCKED。</x:v>
      </x:c>
      <x:c r="O102" s="26" t="str">
        <x:v>python scripts/audit_tools/verify_experience_screen_blueprints.py；人工核对 Spec 10 sections 完整，产品 owner approval 记录清楚。</x:v>
      </x:c>
    </x:row>
    <x:row r="103" ht="42" customHeight="1">
      <x:c r="A103" s="26" t="n">
        <x:v>109</x:v>
      </x:c>
      <x:c r="B103" s="26" t="n">
        <x:v>99</x:v>
      </x:c>
      <x:c r="C103" s="26" t="str">
        <x:v>LUNA-098</x:v>
      </x:c>
      <x:c r="D103" s="26" t="str">
        <x:v>LUNA</x:v>
      </x:c>
      <x:c r="E103" s="26" t="str">
        <x:v>BMP-05｜创作者生态：Backend / Binding 闭合</x:v>
      </x:c>
      <x:c r="F103" s="26" t="n">
        <x:v>12</x:v>
      </x:c>
      <x:c r="G103" s="26" t="str">
        <x:v>BMP portfolio / market / propagation</x:v>
      </x:c>
      <x:c r="H103" s="26" t="str">
        <x:v>PARTIAL</x:v>
      </x:c>
      <x:c r="I103" s="26" t="str">
        <x:v>源码执行/验证</x:v>
      </x:c>
      <x:c r="J103" s="26" t="str">
        <x:v>仅关闭 BMP-05 依赖的真实后端 binding：复用 canonical owner，把 scope/Permission/Evidence/state 绑定完整；不做 UI。</x:v>
      </x:c>
      <x:c r="K103" s="26" t="str">
        <x:v>已批准 BMP-05 Screen Spec；BACKEND_GAP rows 022；当前 owner/caller/tests；binding registry。</x:v>
      </x:c>
      <x:c r="L103" s="26" t="str">
        <x:v>只改对应 canonical owner、最小 API/ViewModel adapter、contracts 与 targeted tests。</x:v>
      </x:c>
      <x:c r="M103" s="26" t="str">
        <x:v>禁止创建平行 DB/Evidence/Permission/Collector/AI owner；禁止 mock success；禁止 unscoped global data；禁止改 UI composition。</x:v>
      </x:c>
      <x:c r="N103" s="26" t="str">
        <x:v>复用 profile；加 BrandFocus scope 与 canonical content/conversion/Evidence link。；成功/空/未采集/离线/拒绝/错误可区分；binding registry 有当前 source evidence；acceptance 仍需 UI/E2E。</x:v>
      </x:c>
      <x:c r="O103" s="26" t="str">
        <x:v>python -m pytest tests/test_experience_runtime.py tests/test_experience_e2e_candidate.py -q tests/test_bmp_truth_isolation.py -q</x:v>
      </x:c>
    </x:row>
    <x:row r="104" ht="42" customHeight="1">
      <x:c r="A104" s="26" t="n">
        <x:v>110</x:v>
      </x:c>
      <x:c r="B104" s="26" t="n">
        <x:v>100</x:v>
      </x:c>
      <x:c r="C104" s="26" t="str">
        <x:v>LUNA-099</x:v>
      </x:c>
      <x:c r="D104" s="26" t="str">
        <x:v>LUNA</x:v>
      </x:c>
      <x:c r="E104" s="26" t="str">
        <x:v>BMP-05｜创作者生态：App UI / UX 实现</x:v>
      </x:c>
      <x:c r="F104" s="26" t="n">
        <x:v>12</x:v>
      </x:c>
      <x:c r="G104" s="26" t="str">
        <x:v>BMP portfolio / market / propagation</x:v>
      </x:c>
      <x:c r="H104" s="26" t="str">
        <x:v>ABSENT</x:v>
      </x:c>
      <x:c r="I104" s="26" t="str">
        <x:v>源码执行/验证</x:v>
      </x:c>
      <x:c r="J104" s="26" t="str">
        <x:v>在 backend contract 已可信后，实现 BMP-05 的 purpose-built Flutter Experience。用户只看到任务、内容、结果与操 作，系统内部 owner/tool/evidence contract 退到产品背后。</x:v>
      </x:c>
      <x:c r="K104" s="26" t="str">
        <x:v>已批准 BMP-05 Spec；typed ViewModel/API；Experience Constitution；shared primitives whitelist；本页草图。</x:v>
      </x:c>
      <x:c r="L104" s="26" t="str">
        <x:v>仅 app/lib/features/bmp/**/bmp05/** (或 Sol 审核后的同 owner feature slice) + matching app/test/**；必要时只复 用已批准 shared primitives。</x:v>
      </x:c>
      <x:c r="M104" s="26" t="str">
        <x:v>禁止 generic renderer / Bento / KPI wall / SaaS dashboard / 换标题复用；禁止改 backend truth；禁止假数据；禁止 PC 缩放成 mobile。</x:v>
      </x:c>
      <x:c r="N104" s="26" t="str">
        <x:v>PC 与 mobile 均表达：KOS/KOL/KOC/UGC creator graph，按 audience fit、真实性、贡献、风险；辅以审计表。；主交互 完成：打开 creator dossier → 比较贡献 → 记录风险/加入授权 campaign。；mobile 重组：creator cards + dossier d etail。；状态/Trace/Return/keyboard/touch/semantics 完整。</x:v>
      </x:c>
      <x:c r="O104" s="26" t="str">
        <x:v>cd app &amp;&amp; flutter analyze &amp;&amp; flutter test ; python scripts/audit_tools/verify_experience_anti_template.py --st rict</x:v>
      </x:c>
    </x:row>
    <x:row r="105" ht="42" customHeight="1">
      <x:c r="A105" s="26" t="n">
        <x:v>111</x:v>
      </x:c>
      <x:c r="B105" s="26" t="n">
        <x:v>101</x:v>
      </x:c>
      <x:c r="C105" s="26" t="str">
        <x:v>LUNA-100</x:v>
      </x:c>
      <x:c r="D105" s="26" t="str">
        <x:v>LUNA</x:v>
      </x:c>
      <x:c r="E105" s="26" t="str">
        <x:v>BMP-05｜创作者生态：Acceptance / E2E 证据</x:v>
      </x:c>
      <x:c r="F105" s="26" t="n">
        <x:v>12</x:v>
      </x:c>
      <x:c r="G105" s="26" t="str">
        <x:v>BMP portfolio / market / propagation</x:v>
      </x:c>
      <x:c r="H105" s="26" t="str">
        <x:v>ABSENT</x:v>
      </x:c>
      <x:c r="I105" s="26" t="str">
        <x:v>源码执行/验证</x:v>
      </x:c>
      <x:c r="J105" s="26" t="str">
        <x:v>独立验证 BMP-05 的真实用户任务，从 App action 到 API/Permission/Canonical/Evidence/result/Return，不以“页面能渲染”作为完成。</x:v>
      </x:c>
      <x:c r="K105" s="26" t="str">
        <x:v>BMP-05 Spec acceptance IDs；Flutter tests；backend tests；runtime/E2E harness；真实/隔离数据按 tier 使用。</x:v>
      </x:c>
      <x:c r="L105" s="26" t="str">
        <x:v>只补测试、测试辅助与明确 bug fix；若发现实现问题回修本 screen owner。</x:v>
      </x:c>
      <x:c r="M105" s="26" t="str">
        <x:v>禁止降低 assertion；禁止 screenshot 自证；禁止把 excluded/quarantine 当 PASS；禁止 fixture 代替 live claim。</x:v>
      </x:c>
      <x:c r="N105" s="26" t="str">
        <x:v>Widget/API/integration 至少全绿；关键 responsive widths；blocked/error/retry/Trace/Return；需要 live 的标为 LIVE_VERIFIED 或明确未验证。</x:v>
      </x:c>
      <x:c r="O105" s="26" t="str">
        <x:v>cd app &amp;&amp; flutter analyze &amp;&amp; flutter test ; python -m pytest tests/test_experience_runtime.py tests/test_experience_e2e_candidate.py -q tests/test_bmp_truth_isolation.py -q ; python scripts/audit_tool s/verify_experience_authority_exclusive.py ; python scripts/audit_tools/verify_experience_anti_template.py --strict ; python scripts/audit_tools/verify_experience_screen_blueprints.py</x:v>
      </x:c>
    </x:row>
    <x:row r="106" ht="42" customHeight="1">
      <x:c r="A106" s="26" t="n">
        <x:v>112</x:v>
      </x:c>
      <x:c r="B106" s="26" t="n">
        <x:v>102</x:v>
      </x:c>
      <x:c r="C106" s="26" t="str">
        <x:v>SOL-101</x:v>
      </x:c>
      <x:c r="D106" s="26" t="str">
        <x:v>SOL</x:v>
      </x:c>
      <x:c r="E106" s="26" t="str">
        <x:v>BMP-06｜内容中心：Screen Spec 闭合</x:v>
      </x:c>
      <x:c r="F106" s="26" t="n">
        <x:v>13</x:v>
      </x:c>
      <x:c r="G106" s="26" t="str">
        <x:v>BMP content / campaign / evaluation</x:v>
      </x:c>
      <x:c r="H106" s="26" t="str">
        <x:v>ABSENT</x:v>
      </x:c>
      <x:c r="I106" s="26" t="str">
        <x:v>产品判断/验收</x:v>
      </x:c>
      <x:c r="J106" s="26" t="str">
        <x:v>把 BMP-06 的用户问题、entry/return、PC/mobile composition、真实 fields/actions、state matrix、permission/evidence、acceptance 全部收敛成可施工 Spec。</x:v>
      </x:c>
      <x:c r="K106" s="26" t="str">
        <x:v>Experience Constitution §36 BMP-06 blueprint；contracts/experience/screens/BMP-06/；binding registry；BACKEND-GAP-023；当前 source owner/caller/tests。</x:v>
      </x:c>
      <x:c r="L106" s="26" t="str">
        <x:v>只更新/审核 contracts/experience/screen-specifications/&lt;ID&gt;.md 与必要 binding ledger；产品架构不变。</x:v>
      </x:c>
      <x:c r="M106" s="26" t="str">
        <x:v>禁止从 fixture 推断 production；UNKNOWN owner/API/permission/lineage 必须阻塞相应行为；禁止画成通用 dashboard。</x:v>
      </x:c>
      <x:c r="N106" s="26" t="str">
        <x:v>Spec 明确：Brief/Draft/Review/Approved/Scheduled/Delivered 的编辑生产板；版本绑定 rights/provenance。；主操作：上传/版本化 → Review lineage/approval → 请求 publish handoff。；移动：生产队列 + versio n stack + approval actions。；所有字段/动作有 source 或明确 BLOCKED。</x:v>
      </x:c>
      <x:c r="O106" s="26" t="str">
        <x:v>python scripts/audit_tools/verify_experience_screen_blueprints.py；人工核对 Spec 10 sections 完整，产品 owner approval 记录清楚。</x:v>
      </x:c>
    </x:row>
    <x:row r="107" ht="42" customHeight="1">
      <x:c r="A107" s="26" t="n">
        <x:v>113</x:v>
      </x:c>
      <x:c r="B107" s="26" t="n">
        <x:v>103</x:v>
      </x:c>
      <x:c r="C107" s="26" t="str">
        <x:v>LUNA-102</x:v>
      </x:c>
      <x:c r="D107" s="26" t="str">
        <x:v>LUNA</x:v>
      </x:c>
      <x:c r="E107" s="26" t="str">
        <x:v>BMP-06｜内容中心：Backend / Binding 闭合</x:v>
      </x:c>
      <x:c r="F107" s="26" t="n">
        <x:v>13</x:v>
      </x:c>
      <x:c r="G107" s="26" t="str">
        <x:v>BMP content / campaign / evaluation</x:v>
      </x:c>
      <x:c r="H107" s="26" t="str">
        <x:v>PARTIAL</x:v>
      </x:c>
      <x:c r="I107" s="26" t="str">
        <x:v>源码执行/验证</x:v>
      </x:c>
      <x:c r="J107" s="26" t="str">
        <x:v>仅关闭 BMP-06 依赖的真实后端 binding：复用 canonical owner，把 scope/Permission/Evidence/state 绑定完整；不做 UI。</x:v>
      </x:c>
      <x:c r="K107" s="26" t="str">
        <x:v>已批准 BMP-06 Screen Spec；BACKEND_GAP rows 023；当前 owner/caller/tests；binding registry。</x:v>
      </x:c>
      <x:c r="L107" s="26" t="str">
        <x:v>只改对应 canonical owner、最小 API/ViewModel adapter、contracts 与 targeted tests。</x:v>
      </x:c>
      <x:c r="M107" s="26" t="str">
        <x:v>禁止创建平行 DB/Evidence/Permission/Collector/AI owner；禁止 mock success；禁止 unscoped global data；禁止改 UI composition。</x:v>
      </x:c>
      <x:c r="N107" s="26" t="str">
        <x:v>当前 content Evidence 全局；先通过 Evidence owner 做 scope，错误不能假装 empty。；成功/空/未采集/离线/拒绝/错误可区分；binding registry 有当前 source evidence；acceptance 仍需 UI/E2E。</x:v>
      </x:c>
      <x:c r="O107" s="26" t="str">
        <x:v>python -m pytest tests/test_experience_runtime.py tests/test_experience_e2e_candidate.py -q tests/test_bmp_truth_isolation.py -q</x:v>
      </x:c>
    </x:row>
    <x:row r="108" ht="42" customHeight="1">
      <x:c r="A108" s="26" t="n">
        <x:v>114</x:v>
      </x:c>
      <x:c r="B108" s="26" t="n">
        <x:v>104</x:v>
      </x:c>
      <x:c r="C108" s="26" t="str">
        <x:v>LUNA-103</x:v>
      </x:c>
      <x:c r="D108" s="26" t="str">
        <x:v>LUNA</x:v>
      </x:c>
      <x:c r="E108" s="26" t="str">
        <x:v>BMP-06｜内容中心：App UI / UX 实现</x:v>
      </x:c>
      <x:c r="F108" s="26" t="n">
        <x:v>13</x:v>
      </x:c>
      <x:c r="G108" s="26" t="str">
        <x:v>BMP content / campaign / evaluation</x:v>
      </x:c>
      <x:c r="H108" s="26" t="str">
        <x:v>ABSENT</x:v>
      </x:c>
      <x:c r="I108" s="26" t="str">
        <x:v>源码执行/验证</x:v>
      </x:c>
      <x:c r="J108" s="26" t="str">
        <x:v>在 backend contract 已可信后，实现 BMP-06 的 purpose-built Flutter Experience。用户只看到任务、内容、结果与操 作，系统内部 owner/tool/evidence contract 退到产品背后。</x:v>
      </x:c>
      <x:c r="K108" s="26" t="str">
        <x:v>已批准 BMP-06 Spec；typed ViewModel/API；Experience Constitution；shared primitives whitelist；本页草图。</x:v>
      </x:c>
      <x:c r="L108" s="26" t="str">
        <x:v>仅 app/lib/features/bmp/**/bmp06/** (或 Sol 审核后的同 owner feature slice) + matching app/test/**；必要时只复 用已批准 shared primitives。</x:v>
      </x:c>
      <x:c r="M108" s="26" t="str">
        <x:v>禁止 generic renderer / Bento / KPI wall / SaaS dashboard / 换标题复用；禁止改 backend truth；禁止假数据；禁止 PC 缩放成 mobile。</x:v>
      </x:c>
      <x:c r="N108" s="26" t="str">
        <x:v>PC 与 mobile 均表达：Brief/Draft/Review/Approved/Scheduled/Delivered 的编辑生产板；版本绑定 rights/provenance 。；主交互完成：上传/版本化 → Review lineage/approval → 请求 publish handoff。；mobile 重组：生产队列 + vers ion stack + approval actions。；状态/Trace/Return/keyboard/touch/semantics 完整。</x:v>
      </x:c>
      <x:c r="O108" s="26" t="str">
        <x:v>cd app &amp;&amp; flutter analyze &amp;&amp; flutter test ; python scripts/audit_tools/verify_experience_anti_template.py --st rict</x:v>
      </x:c>
    </x:row>
    <x:row r="109" ht="42" customHeight="1">
      <x:c r="A109" s="26" t="n">
        <x:v>115</x:v>
      </x:c>
      <x:c r="B109" s="26" t="n">
        <x:v>105</x:v>
      </x:c>
      <x:c r="C109" s="26" t="str">
        <x:v>LUNA-104</x:v>
      </x:c>
      <x:c r="D109" s="26" t="str">
        <x:v>LUNA</x:v>
      </x:c>
      <x:c r="E109" s="26" t="str">
        <x:v>BMP-06｜内容中心：Acceptance / E2E 证据</x:v>
      </x:c>
      <x:c r="F109" s="26" t="n">
        <x:v>13</x:v>
      </x:c>
      <x:c r="G109" s="26" t="str">
        <x:v>BMP content / campaign / evaluation</x:v>
      </x:c>
      <x:c r="H109" s="26" t="str">
        <x:v>ABSENT</x:v>
      </x:c>
      <x:c r="I109" s="26" t="str">
        <x:v>源码执行/验证</x:v>
      </x:c>
      <x:c r="J109" s="26" t="str">
        <x:v>独立验证 BMP-06 的真实用户任务，从 App action 到 API/Permission/Canonical/Evidence/result/Return，不以“页面能渲染”作为完成。</x:v>
      </x:c>
      <x:c r="K109" s="26" t="str">
        <x:v>BMP-06 Spec acceptance IDs；Flutter tests；backend tests；runtime/E2E harness；真实/隔离数据按 tier 使用。</x:v>
      </x:c>
      <x:c r="L109" s="26" t="str">
        <x:v>只补测试、测试辅助与明确 bug fix；若发现实现问题回修本 screen owner。</x:v>
      </x:c>
      <x:c r="M109" s="26" t="str">
        <x:v>禁止降低 assertion；禁止 screenshot 自证；禁止把 excluded/quarantine 当 PASS；禁止 fixture 代替 live claim。</x:v>
      </x:c>
      <x:c r="N109" s="26" t="str">
        <x:v>Widget/API/integration 至少全绿；关键 responsive widths；blocked/error/retry/Trace/Return；需要 live 的标为 LIVE_VERIFIED 或明确未验证。</x:v>
      </x:c>
      <x:c r="O109" s="26" t="str">
        <x:v>cd app &amp;&amp; flutter analyze &amp;&amp; flutter test ; python -m pytest tests/test_experience_runtime.py tests/test_experience_e2e_candidate.py -q tests/test_bmp_truth_isolation.py -q ; python scripts/audit_tool s/verify_experience_authority_exclusive.py ; python scripts/audit_tools/verify_experience_anti_template.py --strict ; python scripts/audit_tools/verify_experience_screen_blueprints.py</x:v>
      </x:c>
    </x:row>
    <x:row r="110" ht="42" customHeight="1">
      <x:c r="A110" s="26" t="n">
        <x:v>116</x:v>
      </x:c>
      <x:c r="B110" s="26" t="n">
        <x:v>106</x:v>
      </x:c>
      <x:c r="C110" s="26" t="str">
        <x:v>SOL-105</x:v>
      </x:c>
      <x:c r="D110" s="26" t="str">
        <x:v>SOL</x:v>
      </x:c>
      <x:c r="E110" s="26" t="str">
        <x:v>BMP-07｜Campaign 工作区：Screen Spec 闭合</x:v>
      </x:c>
      <x:c r="F110" s="26" t="n">
        <x:v>13</x:v>
      </x:c>
      <x:c r="G110" s="26" t="str">
        <x:v>BMP content / campaign / evaluation</x:v>
      </x:c>
      <x:c r="H110" s="26" t="str">
        <x:v>ABSENT</x:v>
      </x:c>
      <x:c r="I110" s="26" t="str">
        <x:v>产品判断/验收</x:v>
      </x:c>
      <x:c r="J110" s="26" t="str">
        <x:v>把 BMP-07 的用户问题、entry/return、PC/mobile composition、真实 fields/actions、state matrix、permission/evidence、acceptance 全部收敛成可施工 Spec。</x:v>
      </x:c>
      <x:c r="K110" s="26" t="str">
        <x:v>Experience Constitution §36 BMP-07 blueprint；contracts/experience/screens/BMP-07/；binding registry；BACKEND-GAP-024；当前 source owner/caller/tests。</x:v>
      </x:c>
      <x:c r="L110" s="26" t="str">
        <x:v>只更新/审核 contracts/experience/screen-specifications/&lt;ID&gt;.md 与必要 binding ledger；产品架构不变。</x:v>
      </x:c>
      <x:c r="M110" s="26" t="str">
        <x:v>禁止从 fixture 推断 production；UNKNOWN owner/API/permission/lineage 必须阻塞相应行为；禁止画成通用 dashboard。</x:v>
      </x:c>
      <x:c r="N110" s="26" t="str">
        <x:v>Spec 明确：objective → audience → channel mix → milestones → outcome；Goal 与 Actual 两条轨分开。；主操作：建/改计划 → owner/date → approval → delivery → evaluation。；移动：引导式 milestones + 紧凑 objective/status。；所有字段/动作有 source 或明确 BLOCKED。</x:v>
      </x:c>
      <x:c r="O110" s="26" t="str">
        <x:v>python scripts/audit_tools/verify_experience_screen_blueprints.py；人工核对 Spec 10 sections 完整，产品 owner approval 记录清楚。</x:v>
      </x:c>
    </x:row>
    <x:row r="111" ht="42" customHeight="1">
      <x:c r="A111" s="26" t="n">
        <x:v>117</x:v>
      </x:c>
      <x:c r="B111" s="26" t="n">
        <x:v>107</x:v>
      </x:c>
      <x:c r="C111" s="26" t="str">
        <x:v>LUNA-106</x:v>
      </x:c>
      <x:c r="D111" s="26" t="str">
        <x:v>LUNA</x:v>
      </x:c>
      <x:c r="E111" s="26" t="str">
        <x:v>BMP-07｜Campaign 工作区：Backend / Binding 闭合</x:v>
      </x:c>
      <x:c r="F111" s="26" t="n">
        <x:v>13</x:v>
      </x:c>
      <x:c r="G111" s="26" t="str">
        <x:v>BMP content / campaign / evaluation</x:v>
      </x:c>
      <x:c r="H111" s="26" t="str">
        <x:v>PARTIAL</x:v>
      </x:c>
      <x:c r="I111" s="26" t="str">
        <x:v>源码执行/验证</x:v>
      </x:c>
      <x:c r="J111" s="26" t="str">
        <x:v>仅关闭 BMP-07 依赖的真实后端 binding：复用 canonical owner，把 scope/Permission/Evidence/state 绑定完整；不做 UI。</x:v>
      </x:c>
      <x:c r="K111" s="26" t="str">
        <x:v>已批准 BMP-07 Screen Spec；BACKEND_GAP rows 024；当前 owner/caller/tests；binding registry。</x:v>
      </x:c>
      <x:c r="L111" s="26" t="str">
        <x:v>只改对应 canonical owner、最小 API/ViewModel adapter、contracts 与 targeted tests。</x:v>
      </x:c>
      <x:c r="M111" s="26" t="str">
        <x:v>禁止创建平行 DB/Evidence/Permission/Collector/AI owner；禁止 mock success；禁止 unscoped global data；禁止改 UI composition。</x:v>
      </x:c>
      <x:c r="N111" s="26" t="str">
        <x:v>当前仅 quota/cooldown 过程状态；goals/timeline/ROI/Evidence 需 canonical campaign source。；成功/空/未采集/离线/拒绝/错误可区分；binding registry 有当前 source evidence；acceptance 仍需 UI/E2E。</x:v>
      </x:c>
      <x:c r="O111" s="26" t="str">
        <x:v>python -m pytest tests/test_experience_runtime.py tests/test_experience_e2e_candidate.py -q tests/test_bmp_truth_isolation.py -q</x:v>
      </x:c>
    </x:row>
    <x:row r="112" ht="42" customHeight="1">
      <x:c r="A112" s="26" t="n">
        <x:v>118</x:v>
      </x:c>
      <x:c r="B112" s="26" t="n">
        <x:v>108</x:v>
      </x:c>
      <x:c r="C112" s="26" t="str">
        <x:v>LUNA-107</x:v>
      </x:c>
      <x:c r="D112" s="26" t="str">
        <x:v>LUNA</x:v>
      </x:c>
      <x:c r="E112" s="26" t="str">
        <x:v>BMP-07｜Campaign 工作区：App UI / UX 实现</x:v>
      </x:c>
      <x:c r="F112" s="26" t="n">
        <x:v>13</x:v>
      </x:c>
      <x:c r="G112" s="26" t="str">
        <x:v>BMP content / campaign / evaluation</x:v>
      </x:c>
      <x:c r="H112" s="26" t="str">
        <x:v>ABSENT</x:v>
      </x:c>
      <x:c r="I112" s="26" t="str">
        <x:v>源码执行/验证</x:v>
      </x:c>
      <x:c r="J112" s="26" t="str">
        <x:v>在 backend contract 已可信后，实现 BMP-07 的 purpose-built Flutter Experience。用户只看到任务、内容、结果与操 作，系统内部 owner/tool/evidence contract 退到产品背后。</x:v>
      </x:c>
      <x:c r="K112" s="26" t="str">
        <x:v>已批准 BMP-07 Spec；typed ViewModel/API；Experience Constitution；shared primitives whitelist；本页草图。</x:v>
      </x:c>
      <x:c r="L112" s="26" t="str">
        <x:v>仅 app/lib/features/bmp/**/bmp07/** (或 Sol 审核后的同 owner feature slice) + matching app/test/**；必要时只复 用已批准 shared primitives。</x:v>
      </x:c>
      <x:c r="M112" s="26" t="str">
        <x:v>禁止 generic renderer / Bento / KPI wall / SaaS dashboard / 换标题复用；禁止改 backend truth；禁止假数据；禁止 PC 缩放成 mobile。</x:v>
      </x:c>
      <x:c r="N112" s="26" t="str">
        <x:v>PC 与 mobile 均表达：objective → audience → channel mix → milestones → outcome；Goal 与 Actual 两条轨分开 。；主交互完成：建/改计划 → owner/date → approval → delivery → evaluation。；mobile 重组：引导式 milestone s + 紧凑 objective/status。；状态/Trace/Return/keyboard/touch/semantics 完整。</x:v>
      </x:c>
      <x:c r="O112" s="26" t="str">
        <x:v>cd app &amp;&amp; flutter analyze &amp;&amp; flutter test ; python scripts/audit_tools/verify_experience_anti_template.py --st rict</x:v>
      </x:c>
    </x:row>
    <x:row r="113" ht="42" customHeight="1">
      <x:c r="A113" s="26" t="n">
        <x:v>119</x:v>
      </x:c>
      <x:c r="B113" s="26" t="n">
        <x:v>109</x:v>
      </x:c>
      <x:c r="C113" s="26" t="str">
        <x:v>LUNA-108</x:v>
      </x:c>
      <x:c r="D113" s="26" t="str">
        <x:v>LUNA</x:v>
      </x:c>
      <x:c r="E113" s="26" t="str">
        <x:v>BMP-07｜Campaign 工作区：Acceptance / E2E 证据</x:v>
      </x:c>
      <x:c r="F113" s="26" t="n">
        <x:v>13</x:v>
      </x:c>
      <x:c r="G113" s="26" t="str">
        <x:v>BMP content / campaign / evaluation</x:v>
      </x:c>
      <x:c r="H113" s="26" t="str">
        <x:v>ABSENT</x:v>
      </x:c>
      <x:c r="I113" s="26" t="str">
        <x:v>源码执行/验证</x:v>
      </x:c>
      <x:c r="J113" s="26" t="str">
        <x:v>独立验证 BMP-07 的真实用户任务，从 App action 到 API/Permission/Canonical/Evidence/result/Return，不以“页面能渲染”作为完成。</x:v>
      </x:c>
      <x:c r="K113" s="26" t="str">
        <x:v>BMP-07 Spec acceptance IDs；Flutter tests；backend tests；runtime/E2E harness；真实/隔离数据按 tier 使用。</x:v>
      </x:c>
      <x:c r="L113" s="26" t="str">
        <x:v>只补测试、测试辅助与明确 bug fix；若发现实现问题回修本 screen owner。</x:v>
      </x:c>
      <x:c r="M113" s="26" t="str">
        <x:v>禁止降低 assertion；禁止 screenshot 自证；禁止把 excluded/quarantine 当 PASS；禁止 fixture 代替 live claim。</x:v>
      </x:c>
      <x:c r="N113" s="26" t="str">
        <x:v>Widget/API/integration 至少全绿；关键 responsive widths；blocked/error/retry/Trace/Return；需要 live 的标为 LIVE_VERIFIED 或明确未验证。</x:v>
      </x:c>
      <x:c r="O113" s="26" t="str">
        <x:v>cd app &amp;&amp; flutter analyze &amp;&amp; flutter test ; python -m pytest tests/test_experience_runtime.py tests/test_experience_e2e_candidate.py -q tests/test_bmp_truth_isolation.py -q ; python scripts/audit_tool s/verify_experience_authority_exclusive.py ; python scripts/audit_tools/verify_experience_anti_template.py --strict ; python scripts/audit_tools/verify_experience_screen_blueprints.py</x:v>
      </x:c>
    </x:row>
    <x:row r="114" ht="42" customHeight="1">
      <x:c r="A114" s="26" t="n">
        <x:v>120</x:v>
      </x:c>
      <x:c r="B114" s="26" t="n">
        <x:v>110</x:v>
      </x:c>
      <x:c r="C114" s="26" t="str">
        <x:v>SOL-109</x:v>
      </x:c>
      <x:c r="D114" s="26" t="str">
        <x:v>SOL</x:v>
      </x:c>
      <x:c r="E114" s="26" t="str">
        <x:v>BMP-08｜播客工作室：Screen Spec 闭合</x:v>
      </x:c>
      <x:c r="F114" s="26" t="n">
        <x:v>13</x:v>
      </x:c>
      <x:c r="G114" s="26" t="str">
        <x:v>BMP content / campaign / evaluation</x:v>
      </x:c>
      <x:c r="H114" s="26" t="str">
        <x:v>ABSENT</x:v>
      </x:c>
      <x:c r="I114" s="26" t="str">
        <x:v>产品判断/验收</x:v>
      </x:c>
      <x:c r="J114" s="26" t="str">
        <x:v>把 BMP-08 的用户问题、entry/return、PC/mobile composition、真实 fields/actions、state matrix、permission/evidence、acceptance 全部收敛成可施工 Spec。</x:v>
      </x:c>
      <x:c r="K114" s="26" t="str">
        <x:v>Experience Constitution §36 BMP-08 blueprint；contracts/experience/screens/BMP-08/；binding registry；BACKEND-GAP-025；当前 source owner/caller/tests。</x:v>
      </x:c>
      <x:c r="L114" s="26" t="str">
        <x:v>只更新/审核 contracts/experience/screen-specifications/&lt;ID&gt;.md 与必要 binding ledger；产品架构不变。</x:v>
      </x:c>
      <x:c r="M114" s="26" t="str">
        <x:v>禁止从 fixture 推断 production；UNKNOWN owner/API/permission/lineage 必须阻塞相应行为；禁止画成通用 dashboard。</x:v>
      </x:c>
      <x:c r="N114" s="26" t="str">
        <x:v>Spec 明确：音频优先：waveform + timecoded script + research source + speaker cues。；主操作：从 approved brief/Evidence 起稿 → 对齐 transcript/audio → claims review → versioned export。；移动：tran script-first + scrub controls + source drawer。；所有字段/动作有 source 或明确 BLOCKED。</x:v>
      </x:c>
      <x:c r="O114" s="26" t="str">
        <x:v>python scripts/audit_tools/verify_experience_screen_blueprints.py；人工核对 Spec 10 sections 完整，产品 owner approval 记录清楚。</x:v>
      </x:c>
    </x:row>
    <x:row r="115" ht="42" customHeight="1">
      <x:c r="A115" s="26" t="n">
        <x:v>121</x:v>
      </x:c>
      <x:c r="B115" s="26" t="n">
        <x:v>111</x:v>
      </x:c>
      <x:c r="C115" s="26" t="str">
        <x:v>LUNA-110</x:v>
      </x:c>
      <x:c r="D115" s="26" t="str">
        <x:v>LUNA</x:v>
      </x:c>
      <x:c r="E115" s="26" t="str">
        <x:v>BMP-08｜播客工作室：Backend / Binding 闭合</x:v>
      </x:c>
      <x:c r="F115" s="26" t="n">
        <x:v>13</x:v>
      </x:c>
      <x:c r="G115" s="26" t="str">
        <x:v>BMP content / campaign / evaluation</x:v>
      </x:c>
      <x:c r="H115" s="26" t="str">
        <x:v>PARTIAL</x:v>
      </x:c>
      <x:c r="I115" s="26" t="str">
        <x:v>源码执行/验证</x:v>
      </x:c>
      <x:c r="J115" s="26" t="str">
        <x:v>仅关闭 BMP-08 依赖的真实后端 binding：复用 canonical owner，把 scope/Permission/Evidence/state 绑定完整；不做 UI。</x:v>
      </x:c>
      <x:c r="K115" s="26" t="str">
        <x:v>已批准 BMP-08 Screen Spec；BACKEND_GAP rows 025；当前 owner/caller/tests；binding registry。</x:v>
      </x:c>
      <x:c r="L115" s="26" t="str">
        <x:v>只改对应 canonical owner、最小 API/ViewModel adapter、contracts 与 targeted tests。</x:v>
      </x:c>
      <x:c r="M115" s="26" t="str">
        <x:v>禁止创建平行 DB/Evidence/Permission/Collector/AI owner；禁止 mock success；禁止 unscoped global data；禁止改 UI composition。</x:v>
      </x:c>
      <x:c r="N115" s="26" t="str">
        <x:v>复用 podcast owner；去 GET schema writes，加 BrandFocus filter，保留 Evidence IDs。；成功/空/未采集/离线/拒绝/错误可区分；binding registry 有当前 source evidence；acceptance 仍需 UI/E2E。</x:v>
      </x:c>
      <x:c r="O115" s="26" t="str">
        <x:v>python -m pytest tests/test_experience_runtime.py tests/test_experience_e2e_candidate.py -q tests/test_bmp_truth_isolation.py -q</x:v>
      </x:c>
    </x:row>
    <x:row r="116" ht="42" customHeight="1">
      <x:c r="A116" s="26" t="n">
        <x:v>122</x:v>
      </x:c>
      <x:c r="B116" s="26" t="n">
        <x:v>112</x:v>
      </x:c>
      <x:c r="C116" s="26" t="str">
        <x:v>LUNA-111</x:v>
      </x:c>
      <x:c r="D116" s="26" t="str">
        <x:v>LUNA</x:v>
      </x:c>
      <x:c r="E116" s="26" t="str">
        <x:v>BMP-08｜播客工作室：App UI / UX 实现</x:v>
      </x:c>
      <x:c r="F116" s="26" t="n">
        <x:v>13</x:v>
      </x:c>
      <x:c r="G116" s="26" t="str">
        <x:v>BMP content / campaign / evaluation</x:v>
      </x:c>
      <x:c r="H116" s="26" t="str">
        <x:v>ABSENT</x:v>
      </x:c>
      <x:c r="I116" s="26" t="str">
        <x:v>源码执行/验证</x:v>
      </x:c>
      <x:c r="J116" s="26" t="str">
        <x:v>在 backend contract 已可信后，实现 BMP-08 的 purpose-built Flutter Experience。用户只看到任务、内容、结果与操 作，系统内部 owner/tool/evidence contract 退到产品背后。</x:v>
      </x:c>
      <x:c r="K116" s="26" t="str">
        <x:v>已批准 BMP-08 Spec；typed ViewModel/API；Experience Constitution；shared primitives whitelist；本页草图。</x:v>
      </x:c>
      <x:c r="L116" s="26" t="str">
        <x:v>仅 app/lib/features/bmp/**/bmp08/** (或 Sol 审核后的同 owner feature slice) + matching app/test/**；必要时只复 用已批准 shared primitives。</x:v>
      </x:c>
      <x:c r="M116" s="26" t="str">
        <x:v>禁止 generic renderer / Bento / KPI wall / SaaS dashboard / 换标题复用；禁止改 backend truth；禁止假数据；禁止 PC 缩放成 mobile。</x:v>
      </x:c>
      <x:c r="N116" s="26" t="str">
        <x:v>PC 与 mobile 均表达：音频优先：waveform + timecoded script + research source + speaker cues。；主交互完成：从 approved brief/Evidence 起稿 → 对齐 transcript/audio → claims review → versioned export。；mobile 重组：tra nscript-first + scrub controls + source drawer。；状态/Trace/Return/keyboard/touch/semantics 完整。</x:v>
      </x:c>
      <x:c r="O116" s="26" t="str">
        <x:v>cd app &amp;&amp; flutter analyze &amp;&amp; flutter test ; python scripts/audit_tools/verify_experience_anti_template.py --st rict</x:v>
      </x:c>
    </x:row>
    <x:row r="117" ht="42" customHeight="1">
      <x:c r="A117" s="26" t="n">
        <x:v>123</x:v>
      </x:c>
      <x:c r="B117" s="26" t="n">
        <x:v>113</x:v>
      </x:c>
      <x:c r="C117" s="26" t="str">
        <x:v>LUNA-112</x:v>
      </x:c>
      <x:c r="D117" s="26" t="str">
        <x:v>LUNA</x:v>
      </x:c>
      <x:c r="E117" s="26" t="str">
        <x:v>BMP-08｜播客工作室：Acceptance / E2E 证据</x:v>
      </x:c>
      <x:c r="F117" s="26" t="n">
        <x:v>13</x:v>
      </x:c>
      <x:c r="G117" s="26" t="str">
        <x:v>BMP content / campaign / evaluation</x:v>
      </x:c>
      <x:c r="H117" s="26" t="str">
        <x:v>ABSENT</x:v>
      </x:c>
      <x:c r="I117" s="26" t="str">
        <x:v>源码执行/验证</x:v>
      </x:c>
      <x:c r="J117" s="26" t="str">
        <x:v>独立验证 BMP-08 的真实用户任务，从 App action 到 API/Permission/Canonical/Evidence/result/Return，不以“页面能渲染”作为完成。</x:v>
      </x:c>
      <x:c r="K117" s="26" t="str">
        <x:v>BMP-08 Spec acceptance IDs；Flutter tests；backend tests；runtime/E2E harness；真实/隔离数据按 tier 使用。</x:v>
      </x:c>
      <x:c r="L117" s="26" t="str">
        <x:v>只补测试、测试辅助与明确 bug fix；若发现实现问题回修本 screen owner。</x:v>
      </x:c>
      <x:c r="M117" s="26" t="str">
        <x:v>禁止降低 assertion；禁止 screenshot 自证；禁止把 excluded/quarantine 当 PASS；禁止 fixture 代替 live claim。</x:v>
      </x:c>
      <x:c r="N117" s="26" t="str">
        <x:v>Widget/API/integration 至少全绿；关键 responsive widths；blocked/error/retry/Trace/Return；需要 live 的标为 LIVE_VERIFIED 或明确未验证。</x:v>
      </x:c>
      <x:c r="O117" s="26" t="str">
        <x:v>cd app &amp;&amp; flutter analyze &amp;&amp; flutter test ; python -m pytest tests/test_experience_runtime.py tests/test_experience_e2e_candidate.py -q tests/test_bmp_truth_isolation.py -q ; python scripts/audit_tool s/verify_experience_authority_exclusive.py ; python scripts/audit_tools/verify_experience_anti_template.py --strict ; python scripts/audit_tools/verify_experience_screen_blueprints.py</x:v>
      </x:c>
    </x:row>
    <x:row r="118" ht="42" customHeight="1">
      <x:c r="A118" s="26" t="n">
        <x:v>124</x:v>
      </x:c>
      <x:c r="B118" s="26" t="n">
        <x:v>114</x:v>
      </x:c>
      <x:c r="C118" s="26" t="str">
        <x:v>SOL-113</x:v>
      </x:c>
      <x:c r="D118" s="26" t="str">
        <x:v>SOL</x:v>
      </x:c>
      <x:c r="E118" s="26" t="str">
        <x:v>BMP-09｜品牌评估：Screen Spec 闭合</x:v>
      </x:c>
      <x:c r="F118" s="26" t="n">
        <x:v>13</x:v>
      </x:c>
      <x:c r="G118" s="26" t="str">
        <x:v>BMP content / campaign / evaluation</x:v>
      </x:c>
      <x:c r="H118" s="26" t="str">
        <x:v>ABSENT</x:v>
      </x:c>
      <x:c r="I118" s="26" t="str">
        <x:v>产品判断/验收</x:v>
      </x:c>
      <x:c r="J118" s="26" t="str">
        <x:v>把 BMP-09 的用户问题、entry/return、PC/mobile composition、真实 fields/actions、state matrix、permission/evidence、acceptance 全部收敛成可施工 Spec。</x:v>
      </x:c>
      <x:c r="K118" s="26" t="str">
        <x:v>Experience Constitution §36 BMP-09 blueprint；contracts/experience/screens/BMP-09/；binding registry；BACKEND-GAP-026；当前 source owner/caller/tests。</x:v>
      </x:c>
      <x:c r="L118" s="26" t="str">
        <x:v>只更新/审核 contracts/experience/screen-specifications/&lt;ID&gt;.md 与必要 binding ledger；产品架构不变。</x:v>
      </x:c>
      <x:c r="M118" s="26" t="str">
        <x:v>禁止从 fixture 推断 production；UNKNOWN owner/API/permission/lineage 必须阻塞相应行为；禁止画成通用 dashboard。</x:v>
      </x:c>
      <x:c r="N118" s="26" t="str">
        <x:v>Spec 明确：维度 scorecard + period movement + confidence + Evidence coverage，叙事结论在 measured values 之后。；主操作：选品牌/period → 看 definition/Evidence → 只比较 aligned baseline。；移动：维 度优先级列表 + 单选 Evidence trend。；所有字段/动作有 source 或明确 BLOCKED。</x:v>
      </x:c>
      <x:c r="O118" s="26" t="str">
        <x:v>python scripts/audit_tools/verify_experience_screen_blueprints.py；人工核对 Spec 10 sections 完整，产品 owner approval 记录清楚。</x:v>
      </x:c>
    </x:row>
    <x:row r="119" ht="42" customHeight="1">
      <x:c r="A119" s="26" t="n">
        <x:v>125</x:v>
      </x:c>
      <x:c r="B119" s="26" t="n">
        <x:v>115</x:v>
      </x:c>
      <x:c r="C119" s="26" t="str">
        <x:v>LUNA-114</x:v>
      </x:c>
      <x:c r="D119" s="26" t="str">
        <x:v>LUNA</x:v>
      </x:c>
      <x:c r="E119" s="26" t="str">
        <x:v>BMP-09｜品牌评估：Backend / Binding 闭合</x:v>
      </x:c>
      <x:c r="F119" s="26" t="n">
        <x:v>13</x:v>
      </x:c>
      <x:c r="G119" s="26" t="str">
        <x:v>BMP content / campaign / evaluation</x:v>
      </x:c>
      <x:c r="H119" s="26" t="str">
        <x:v>PARTIAL</x:v>
      </x:c>
      <x:c r="I119" s="26" t="str">
        <x:v>源码执行/验证</x:v>
      </x:c>
      <x:c r="J119" s="26" t="str">
        <x:v>仅关闭 BMP-09 依赖的真实后端 binding：复用 canonical owner，把 scope/Permission/Evidence/state 绑定完整；不做 UI。</x:v>
      </x:c>
      <x:c r="K119" s="26" t="str">
        <x:v>已批准 BMP-09 Screen Spec；BACKEND_GAP rows 026；当前 owner/caller/tests；binding registry。</x:v>
      </x:c>
      <x:c r="L119" s="26" t="str">
        <x:v>只改对应 canonical owner、最小 API/ViewModel adapter、contracts 与 targeted tests。</x:v>
      </x:c>
      <x:c r="M119" s="26" t="str">
        <x:v>禁止创建平行 DB/Evidence/Permission/Collector/AI owner；禁止 mock success；禁止 unscoped global data；禁止改 UI composition。</x:v>
      </x:c>
      <x:c r="N119" s="26" t="str">
        <x:v>复用 evaluation owner；read init 安全、brand scope、Evidence ref 不可丢。；成功/空/未采集/离线/拒绝/错误可区分；binding registry 有当前 source evidence；acceptance 仍需 UI/E2E。</x:v>
      </x:c>
      <x:c r="O119" s="26" t="str">
        <x:v>python -m pytest tests/test_experience_runtime.py tests/test_experience_e2e_candidate.py -q tests/test_bmp_truth_isolation.py -q</x:v>
      </x:c>
    </x:row>
    <x:row r="120" ht="42" customHeight="1">
      <x:c r="A120" s="26" t="n">
        <x:v>126</x:v>
      </x:c>
      <x:c r="B120" s="26" t="n">
        <x:v>116</x:v>
      </x:c>
      <x:c r="C120" s="26" t="str">
        <x:v>LUNA-115</x:v>
      </x:c>
      <x:c r="D120" s="26" t="str">
        <x:v>LUNA</x:v>
      </x:c>
      <x:c r="E120" s="26" t="str">
        <x:v>BMP-09｜品牌评估：App UI / UX 实现</x:v>
      </x:c>
      <x:c r="F120" s="26" t="n">
        <x:v>13</x:v>
      </x:c>
      <x:c r="G120" s="26" t="str">
        <x:v>BMP content / campaign / evaluation</x:v>
      </x:c>
      <x:c r="H120" s="26" t="str">
        <x:v>ABSENT</x:v>
      </x:c>
      <x:c r="I120" s="26" t="str">
        <x:v>源码执行/验证</x:v>
      </x:c>
      <x:c r="J120" s="26" t="str">
        <x:v>在 backend contract 已可信后，实现 BMP-09 的 purpose-built Flutter Experience。用户只看到任务、内容、结果与操 作，系统内部 owner/tool/evidence contract 退到产品背后。</x:v>
      </x:c>
      <x:c r="K120" s="26" t="str">
        <x:v>已批准 BMP-09 Spec；typed ViewModel/API；Experience Constitution；shared primitives whitelist；本页草图。</x:v>
      </x:c>
      <x:c r="L120" s="26" t="str">
        <x:v>仅 app/lib/features/bmp/**/bmp09/** (或 Sol 审核后的同 owner feature slice) + matching app/test/**；必要时只复 用已批准 shared primitives。</x:v>
      </x:c>
      <x:c r="M120" s="26" t="str">
        <x:v>禁止 generic renderer / Bento / KPI wall / SaaS dashboard / 换标题复用；禁止改 backend truth；禁止假数据；禁止 PC 缩放成 mobile。</x:v>
      </x:c>
      <x:c r="N120" s="26" t="str">
        <x:v>PC 与 mobile 均表达：维度 scorecard + period movement + confidence + Evidence coverage，叙事结论在 measured va lues 之后。；主交互完成：选品牌/period → 看 definition/Evidence → 只比较 aligned baseline。；mobile 重组：维 度优先级列表 + 单选 Evidence trend。；状态/Trace/Return/keyboard/touch/semantics 完整。</x:v>
      </x:c>
      <x:c r="O120" s="26" t="str">
        <x:v>cd app &amp;&amp; flutter analyze &amp;&amp; flutter test ; python scripts/audit_tools/verify_experience_anti_template.py --st rict</x:v>
      </x:c>
    </x:row>
    <x:row r="121" ht="42" customHeight="1">
      <x:c r="A121" s="26" t="n">
        <x:v>127</x:v>
      </x:c>
      <x:c r="B121" s="26" t="n">
        <x:v>117</x:v>
      </x:c>
      <x:c r="C121" s="26" t="str">
        <x:v>LUNA-116</x:v>
      </x:c>
      <x:c r="D121" s="26" t="str">
        <x:v>LUNA</x:v>
      </x:c>
      <x:c r="E121" s="26" t="str">
        <x:v>BMP-09｜品牌评估：Acceptance / E2E 证据</x:v>
      </x:c>
      <x:c r="F121" s="26" t="n">
        <x:v>13</x:v>
      </x:c>
      <x:c r="G121" s="26" t="str">
        <x:v>BMP content / campaign / evaluation</x:v>
      </x:c>
      <x:c r="H121" s="26" t="str">
        <x:v>ABSENT</x:v>
      </x:c>
      <x:c r="I121" s="26" t="str">
        <x:v>源码执行/验证</x:v>
      </x:c>
      <x:c r="J121" s="26" t="str">
        <x:v>独立验证 BMP-09 的真实用户任务，从 App action 到 API/Permission/Canonical/Evidence/result/Return，不以“页面能渲染”作为完成。</x:v>
      </x:c>
      <x:c r="K121" s="26" t="str">
        <x:v>BMP-09 Spec acceptance IDs；Flutter tests；backend tests；runtime/E2E harness；真实/隔离数据按 tier 使用。</x:v>
      </x:c>
      <x:c r="L121" s="26" t="str">
        <x:v>只补测试、测试辅助与明确 bug fix；若发现实现问题回修本 screen owner。</x:v>
      </x:c>
      <x:c r="M121" s="26" t="str">
        <x:v>禁止降低 assertion；禁止 screenshot 自证；禁止把 excluded/quarantine 当 PASS；禁止 fixture 代替 live claim。</x:v>
      </x:c>
      <x:c r="N121" s="26" t="str">
        <x:v>Widget/API/integration 至少全绿；关键 responsive widths；blocked/error/retry/Trace/Return；需要 live 的标为 LIVE_VERIFIED 或明确未验证。</x:v>
      </x:c>
      <x:c r="O121" s="26" t="str">
        <x:v>cd app &amp;&amp; flutter analyze &amp;&amp; flutter test ; python -m pytest tests/test_experience_runtime.py tests/test_experience_e2e_candidate.py -q tests/test_bmp_truth_isolation.py -q ; python scripts/audit_tool s/verify_experience_authority_exclusive.py ; python scripts/audit_tools/verify_experience_anti_template.py --strict ; python scripts/audit_tools/verify_experience_screen_blueprints.py</x:v>
      </x:c>
    </x:row>
    <x:row r="122" ht="42" customHeight="1">
      <x:c r="A122" s="26" t="n">
        <x:v>128</x:v>
      </x:c>
      <x:c r="B122" s="26" t="n">
        <x:v>118</x:v>
      </x:c>
      <x:c r="C122" s="26" t="str">
        <x:v>SOL-117</x:v>
      </x:c>
      <x:c r="D122" s="26" t="str">
        <x:v>SOL</x:v>
      </x:c>
      <x:c r="E122" s="26" t="str">
        <x:v>BMP-10｜品牌风险与事件：Screen Spec 闭合</x:v>
      </x:c>
      <x:c r="F122" s="26" t="n">
        <x:v>13</x:v>
      </x:c>
      <x:c r="G122" s="26" t="str">
        <x:v>BMP content / campaign / evaluation</x:v>
      </x:c>
      <x:c r="H122" s="26" t="str">
        <x:v>ABSENT</x:v>
      </x:c>
      <x:c r="I122" s="26" t="str">
        <x:v>产品判断/验收</x:v>
      </x:c>
      <x:c r="J122" s="26" t="str">
        <x:v>把 BMP-10 的用户问题、entry/return、PC/mobile composition、真实 fields/actions、state matrix、permission/evidence、acceptance 全部收敛成可施工 Spec。</x:v>
      </x:c>
      <x:c r="K122" s="26" t="str">
        <x:v>Experience Constitution §36 BMP-10 blueprint；contracts/experience/screens/BMP-10/；binding registry；BACKEND-GAP-027；当前 source owner/caller/tests。</x:v>
      </x:c>
      <x:c r="L122" s="26" t="str">
        <x:v>只更新/审核 contracts/experience/screen-specifications/&lt;ID&gt;.md 与必要 binding ledger；产品架构不变。</x:v>
      </x:c>
      <x:c r="M122" s="26" t="str">
        <x:v>禁止从 fixture 推断 production；UNKNOWN owner/API/permission/lineage 必须阻塞相应行为；禁止画成通用 dashboard。</x:v>
      </x:c>
      <x:c r="N122" s="26" t="str">
        <x:v>Spec 明确：按 severity/spread/recency 组织品牌 incident；active event timeline 连接 response owner。；主操作：triage → assign response → approval/effect → revisit impact。；移动：urgent queue + inc ident detail + action ladder。；所有字段/动作有 source 或明确 BLOCKED。</x:v>
      </x:c>
      <x:c r="O122" s="26" t="str">
        <x:v>python scripts/audit_tools/verify_experience_screen_blueprints.py；人工核对 Spec 10 sections 完整，产品 owner approval 记录清楚。</x:v>
      </x:c>
    </x:row>
    <x:row r="123" ht="42" customHeight="1">
      <x:c r="A123" s="26" t="n">
        <x:v>129</x:v>
      </x:c>
      <x:c r="B123" s="26" t="n">
        <x:v>119</x:v>
      </x:c>
      <x:c r="C123" s="26" t="str">
        <x:v>LUNA-118</x:v>
      </x:c>
      <x:c r="D123" s="26" t="str">
        <x:v>LUNA</x:v>
      </x:c>
      <x:c r="E123" s="26" t="str">
        <x:v>BMP-10｜品牌风险与事件：Backend / Binding 闭合</x:v>
      </x:c>
      <x:c r="F123" s="26" t="n">
        <x:v>13</x:v>
      </x:c>
      <x:c r="G123" s="26" t="str">
        <x:v>BMP content / campaign / evaluation</x:v>
      </x:c>
      <x:c r="H123" s="26" t="str">
        <x:v>PARTIAL</x:v>
      </x:c>
      <x:c r="I123" s="26" t="str">
        <x:v>源码执行/验证</x:v>
      </x:c>
      <x:c r="J123" s="26" t="str">
        <x:v>仅关闭 BMP-10 依赖的真实后端 binding：复用 canonical owner，把 scope/Permission/Evidence/state 绑定完整；不做 UI。</x:v>
      </x:c>
      <x:c r="K123" s="26" t="str">
        <x:v>已批准 BMP-10 Screen Spec；BACKEND_GAP rows 027；当前 owner/caller/tests；binding registry。</x:v>
      </x:c>
      <x:c r="L123" s="26" t="str">
        <x:v>只改对应 canonical owner、最小 API/ViewModel adapter、contracts 与 targeted tests。</x:v>
      </x:c>
      <x:c r="M123" s="26" t="str">
        <x:v>禁止创建平行 DB/Evidence/Permission/Collector/AI owner；禁止 mock success；禁止 unscoped global data；禁止改 UI composition。</x:v>
      </x:c>
      <x:c r="N123" s="26" t="str">
        <x:v>当前错误复用 CTH Subject 风险；必须切回 BMP canonical Brand/Market risk owner。；成功/空/未采集/离线/拒绝/错误可区分；binding registry 有当前 source evidence；acceptance 仍需 UI/E2E。</x:v>
      </x:c>
      <x:c r="O123" s="26" t="str">
        <x:v>python -m pytest tests/test_experience_runtime.py tests/test_experience_e2e_candidate.py -q tests/test_bmp_truth_isolation.py -q</x:v>
      </x:c>
    </x:row>
    <x:row r="124" ht="42" customHeight="1">
      <x:c r="A124" s="26" t="n">
        <x:v>130</x:v>
      </x:c>
      <x:c r="B124" s="26" t="n">
        <x:v>120</x:v>
      </x:c>
      <x:c r="C124" s="26" t="str">
        <x:v>LUNA-119</x:v>
      </x:c>
      <x:c r="D124" s="26" t="str">
        <x:v>LUNA</x:v>
      </x:c>
      <x:c r="E124" s="26" t="str">
        <x:v>BMP-10｜品牌风险与事件：App UI / UX 实现</x:v>
      </x:c>
      <x:c r="F124" s="26" t="n">
        <x:v>13</x:v>
      </x:c>
      <x:c r="G124" s="26" t="str">
        <x:v>BMP content / campaign / evaluation</x:v>
      </x:c>
      <x:c r="H124" s="26" t="str">
        <x:v>ABSENT</x:v>
      </x:c>
      <x:c r="I124" s="26" t="str">
        <x:v>源码执行/验证</x:v>
      </x:c>
      <x:c r="J124" s="26" t="str">
        <x:v>在 backend contract 已可信后，实现 BMP-10 的 purpose-built Flutter Experience。用户只看到任务、内容、结果与操 作，系统内部 owner/tool/evidence contract 退到产品背后。</x:v>
      </x:c>
      <x:c r="K124" s="26" t="str">
        <x:v>已批准 BMP-10 Spec；typed ViewModel/API；Experience Constitution；shared primitives whitelist；本页草图。</x:v>
      </x:c>
      <x:c r="L124" s="26" t="str">
        <x:v>仅 app/lib/features/bmp/**/bmp10/** (或 Sol 审核后的同 owner feature slice) + matching app/test/**；必要时只复 用已批准 shared primitives。</x:v>
      </x:c>
      <x:c r="M124" s="26" t="str">
        <x:v>禁止 generic renderer / Bento / KPI wall / SaaS dashboard / 换标题复用；禁止改 backend truth；禁止假数据；禁止 PC 缩放成 mobile。</x:v>
      </x:c>
      <x:c r="N124" s="26" t="str">
        <x:v>PC 与 mobile 均表达：按 severity/spread/recency 组织品牌 incident；active event timeline 连接 response owner。 ；主交互完成：triage → assign response → approval/effect → revisit impact。；mobile 重组：urgent queue + in cident detail + action ladder。；状态/Trace/Return/keyboard/touch/semantics 完整。</x:v>
      </x:c>
      <x:c r="O124" s="26" t="str">
        <x:v>cd app &amp;&amp; flutter analyze &amp;&amp; flutter test ; python scripts/audit_tools/verify_experience_anti_template.py --st rict</x:v>
      </x:c>
    </x:row>
    <x:row r="125" ht="42" customHeight="1">
      <x:c r="A125" s="26" t="n">
        <x:v>131</x:v>
      </x:c>
      <x:c r="B125" s="26" t="n">
        <x:v>121</x:v>
      </x:c>
      <x:c r="C125" s="26" t="str">
        <x:v>LUNA-120</x:v>
      </x:c>
      <x:c r="D125" s="26" t="str">
        <x:v>LUNA</x:v>
      </x:c>
      <x:c r="E125" s="26" t="str">
        <x:v>BMP-10｜品牌风险与事件：Acceptance / E2E 证据</x:v>
      </x:c>
      <x:c r="F125" s="26" t="n">
        <x:v>13</x:v>
      </x:c>
      <x:c r="G125" s="26" t="str">
        <x:v>BMP content / campaign / evaluation</x:v>
      </x:c>
      <x:c r="H125" s="26" t="str">
        <x:v>ABSENT</x:v>
      </x:c>
      <x:c r="I125" s="26" t="str">
        <x:v>源码执行/验证</x:v>
      </x:c>
      <x:c r="J125" s="26" t="str">
        <x:v>独立验证 BMP-10 的真实用户任务，从 App action 到 API/Permission/Canonical/Evidence/result/Return，不以“页面能渲染”作为完成。</x:v>
      </x:c>
      <x:c r="K125" s="26" t="str">
        <x:v>BMP-10 Spec acceptance IDs；Flutter tests；backend tests；runtime/E2E harness；真实/隔离数据按 tier 使用。</x:v>
      </x:c>
      <x:c r="L125" s="26" t="str">
        <x:v>只补测试、测试辅助与明确 bug fix；若发现实现问题回修本 screen owner。</x:v>
      </x:c>
      <x:c r="M125" s="26" t="str">
        <x:v>禁止降低 assertion；禁止 screenshot 自证；禁止把 excluded/quarantine 当 PASS；禁止 fixture 代替 live claim。</x:v>
      </x:c>
      <x:c r="N125" s="26" t="str">
        <x:v>Widget/API/integration 至少全绿；关键 responsive widths；blocked/error/retry/Trace/Return；需要 live 的标为 LIVE_VERIFIED 或明确未验证。</x:v>
      </x:c>
      <x:c r="O125" s="26" t="str">
        <x:v>cd app &amp;&amp; flutter analyze &amp;&amp; flutter test ; python -m pytest tests/test_experience_runtime.py tests/test_experience_e2e_candidate.py -q tests/test_bmp_truth_isolation.py -q ; python scripts/audit_tool s/verify_experience_authority_exclusive.py ; python scripts/audit_tools/verify_experience_anti_template.py --strict ; python scripts/audit_tools/verify_experience_screen_blueprints.py</x:v>
      </x:c>
    </x:row>
    <x:row r="126" ht="42" customHeight="1">
      <x:c r="A126" s="26" t="n">
        <x:v>132</x:v>
      </x:c>
      <x:c r="B126" s="26" t="n">
        <x:v>122</x:v>
      </x:c>
      <x:c r="C126" s="26" t="str">
        <x:v>SOL-121</x:v>
      </x:c>
      <x:c r="D126" s="26" t="str">
        <x:v>SOL</x:v>
      </x:c>
      <x:c r="E126" s="26" t="str">
        <x:v>BMP-11｜Benchmark 与竞品分析：Screen Spec 闭合</x:v>
      </x:c>
      <x:c r="F126" s="26" t="n">
        <x:v>13</x:v>
      </x:c>
      <x:c r="G126" s="26" t="str">
        <x:v>BMP content / campaign / evaluation</x:v>
      </x:c>
      <x:c r="H126" s="26" t="str">
        <x:v>ABSENT</x:v>
      </x:c>
      <x:c r="I126" s="26" t="str">
        <x:v>产品判断/验收</x:v>
      </x:c>
      <x:c r="J126" s="26" t="str">
        <x:v>把 BMP-11 的用户问题、entry/return、PC/mobile composition、真实 fields/actions、state matrix、permission/evidence、acceptance 全部收敛成可施工 Spec。</x:v>
      </x:c>
      <x:c r="K126" s="26" t="str">
        <x:v>Experience Constitution §36 BMP-11 blueprint；contracts/experience/screens/BMP-11/；binding registry；BACKEND-GAP-028；当前 source owner/caller/tests。</x:v>
      </x:c>
      <x:c r="L126" s="26" t="str">
        <x:v>只更新/审核 contracts/experience/screen-specifications/&lt;ID&gt;.md 与必要 binding ledger；产品架构不变。</x:v>
      </x:c>
      <x:c r="M126" s="26" t="str">
        <x:v>禁止从 fixture 推断 production；UNKNOWN owner/API/permission/lineage 必须阻塞相应行为；禁止画成通用 dashboard。</x:v>
      </x:c>
      <x:c r="N126" s="26" t="str">
        <x:v>Spec 明确：normalized comparison workbench：定义、并排品牌/竞品、Evidence strip，不可比值直接 withheld。；主操作：选择 comparison set/window → 看 normalization → supported gap → export。；移动：可 滑动比较 + sticky metric definition。；所有字段/动作有 source 或明确 BLOCKED。</x:v>
      </x:c>
      <x:c r="O126" s="26" t="str">
        <x:v>python scripts/audit_tools/verify_experience_screen_blueprints.py；人工核对 Spec 10 sections 完整，产品 owner approval 记录清楚。</x:v>
      </x:c>
    </x:row>
    <x:row r="127" ht="42" customHeight="1">
      <x:c r="A127" s="26" t="n">
        <x:v>133</x:v>
      </x:c>
      <x:c r="B127" s="26" t="n">
        <x:v>123</x:v>
      </x:c>
      <x:c r="C127" s="26" t="str">
        <x:v>LUNA-122</x:v>
      </x:c>
      <x:c r="D127" s="26" t="str">
        <x:v>LUNA</x:v>
      </x:c>
      <x:c r="E127" s="26" t="str">
        <x:v>BMP-11｜Benchmark 与竞品分析：Backend / Binding 闭合</x:v>
      </x:c>
      <x:c r="F127" s="26" t="n">
        <x:v>13</x:v>
      </x:c>
      <x:c r="G127" s="26" t="str">
        <x:v>BMP content / campaign / evaluation</x:v>
      </x:c>
      <x:c r="H127" s="26" t="str">
        <x:v>PARTIAL</x:v>
      </x:c>
      <x:c r="I127" s="26" t="str">
        <x:v>源码执行/验证</x:v>
      </x:c>
      <x:c r="J127" s="26" t="str">
        <x:v>仅关闭 BMP-11 依赖的真实后端 binding：复用 canonical owner，把 scope/Permission/Evidence/state 绑定完整；不做 UI。</x:v>
      </x:c>
      <x:c r="K127" s="26" t="str">
        <x:v>已批准 BMP-11 Screen Spec；BACKEND_GAP rows 028；当前 owner/caller/tests；binding registry。</x:v>
      </x:c>
      <x:c r="L127" s="26" t="str">
        <x:v>只改对应 canonical owner、最小 API/ViewModel adapter、contracts 与 targeted tests。</x:v>
      </x:c>
      <x:c r="M127" s="26" t="str">
        <x:v>禁止创建平行 DB/Evidence/Permission/Collector/AI owner；禁止 mock success；禁止 unscoped global data；禁止改 UI composition。</x:v>
      </x:c>
      <x:c r="N127" s="26" t="str">
        <x:v>复用 benchmark owner；scope 到 selected Brand/market + Evidence 后才显示 ranking。；成功/空/未采集/离线/拒绝/错误可区分；binding registry 有当前 source evidence；acceptance 仍需 UI/E2E。</x:v>
      </x:c>
      <x:c r="O127" s="26" t="str">
        <x:v>python -m pytest tests/test_experience_runtime.py tests/test_experience_e2e_candidate.py -q tests/test_bmp_truth_isolation.py -q</x:v>
      </x:c>
    </x:row>
    <x:row r="128" ht="42" customHeight="1">
      <x:c r="A128" s="26" t="n">
        <x:v>134</x:v>
      </x:c>
      <x:c r="B128" s="26" t="n">
        <x:v>124</x:v>
      </x:c>
      <x:c r="C128" s="26" t="str">
        <x:v>LUNA-123</x:v>
      </x:c>
      <x:c r="D128" s="26" t="str">
        <x:v>LUNA</x:v>
      </x:c>
      <x:c r="E128" s="26" t="str">
        <x:v>BMP-11｜Benchmark 与竞品分析：App UI / UX 实现</x:v>
      </x:c>
      <x:c r="F128" s="26" t="n">
        <x:v>13</x:v>
      </x:c>
      <x:c r="G128" s="26" t="str">
        <x:v>BMP content / campaign / evaluation</x:v>
      </x:c>
      <x:c r="H128" s="26" t="str">
        <x:v>ABSENT</x:v>
      </x:c>
      <x:c r="I128" s="26" t="str">
        <x:v>源码执行/验证</x:v>
      </x:c>
      <x:c r="J128" s="26" t="str">
        <x:v>在 backend contract 已可信后，实现 BMP-11 的 purpose-built Flutter Experience。用户只看到任务、内容、结果与操 作，系统内部 owner/tool/evidence contract 退到产品背后。</x:v>
      </x:c>
      <x:c r="K128" s="26" t="str">
        <x:v>已批准 BMP-11 Spec；typed ViewModel/API；Experience Constitution；shared primitives whitelist；本页草图。</x:v>
      </x:c>
      <x:c r="L128" s="26" t="str">
        <x:v>仅 app/lib/features/bmp/**/bmp11/** (或 Sol 审核后的同 owner feature slice) + matching app/test/**；必要时只复 用已批准 shared primitives。</x:v>
      </x:c>
      <x:c r="M128" s="26" t="str">
        <x:v>禁止 generic renderer / Bento / KPI wall / SaaS dashboard / 换标题复用；禁止改 backend truth；禁止假数据；禁止 PC 缩放成 mobile。</x:v>
      </x:c>
      <x:c r="N128" s="26" t="str">
        <x:v>PC 与 mobile 均表达：normalized comparison workbench：定义、并排品牌/竞品、Evidence strip，不可比值直接 withhe ld。；主交互完成：选择 comparison set/window → 看 normalization → supported gap → export。；mobile 重组：可 滑动比较 + sticky metric definition。；状态/Trace/Return/keyboard/touch/semantics 完整。</x:v>
      </x:c>
      <x:c r="O128" s="26" t="str">
        <x:v>cd app &amp;&amp; flutter analyze &amp;&amp; flutter test ; python scripts/audit_tools/verify_experience_anti_template.py --st rict</x:v>
      </x:c>
    </x:row>
    <x:row r="129" ht="42" customHeight="1">
      <x:c r="A129" s="26" t="n">
        <x:v>135</x:v>
      </x:c>
      <x:c r="B129" s="26" t="n">
        <x:v>125</x:v>
      </x:c>
      <x:c r="C129" s="26" t="str">
        <x:v>LUNA-124</x:v>
      </x:c>
      <x:c r="D129" s="26" t="str">
        <x:v>LUNA</x:v>
      </x:c>
      <x:c r="E129" s="26" t="str">
        <x:v>BMP-11｜Benchmark 与竞品分析：Acceptance / E2E 证据</x:v>
      </x:c>
      <x:c r="F129" s="26" t="n">
        <x:v>13</x:v>
      </x:c>
      <x:c r="G129" s="26" t="str">
        <x:v>BMP content / campaign / evaluation</x:v>
      </x:c>
      <x:c r="H129" s="26" t="str">
        <x:v>ABSENT</x:v>
      </x:c>
      <x:c r="I129" s="26" t="str">
        <x:v>源码执行/验证</x:v>
      </x:c>
      <x:c r="J129" s="26" t="str">
        <x:v>独立验证 BMP-11 的真实用户任务，从 App action 到 API/Permission/Canonical/Evidence/result/Return，不以“页面能渲染”作为完成。</x:v>
      </x:c>
      <x:c r="K129" s="26" t="str">
        <x:v>BMP-11 Spec acceptance IDs；Flutter tests；backend tests；runtime/E2E harness；真实/隔离数据按 tier 使用。</x:v>
      </x:c>
      <x:c r="L129" s="26" t="str">
        <x:v>只补测试、测试辅助与明确 bug fix；若发现实现问题回修本 screen owner。</x:v>
      </x:c>
      <x:c r="M129" s="26" t="str">
        <x:v>禁止降低 assertion；禁止 screenshot 自证；禁止把 excluded/quarantine 当 PASS；禁止 fixture 代替 live claim。</x:v>
      </x:c>
      <x:c r="N129" s="26" t="str">
        <x:v>Widget/API/integration 至少全绿；关键 responsive widths；blocked/error/retry/Trace/Return；需要 live 的标为 LIVE_VERIFIED 或明确未验证。</x:v>
      </x:c>
      <x:c r="O129" s="26" t="str">
        <x:v>cd app &amp;&amp; flutter analyze &amp;&amp; flutter test ; python -m pytest tests/test_experience_runtime.py tests/test_experience_e2e_candidate.py -q tests/test_bmp_truth_isolation.py -q ; python scripts/audit_tool s/verify_experience_authority_exclusive.py ; python scripts/audit_tools/verify_experience_anti_template.py --strict ; python scripts/audit_tools/verify_experience_screen_blueprints.py</x:v>
      </x:c>
    </x:row>
    <x:row r="130" ht="42" customHeight="1">
      <x:c r="A130" s="26" t="n">
        <x:v>136</x:v>
      </x:c>
      <x:c r="B130" s="26" t="n">
        <x:v>126</x:v>
      </x:c>
      <x:c r="C130" s="26" t="str">
        <x:v>SOL-125</x:v>
      </x:c>
      <x:c r="D130" s="26" t="str">
        <x:v>SOL</x:v>
      </x:c>
      <x:c r="E130" s="26" t="str">
        <x:v>AI-01｜AI 意图入口：Screen Spec 闭合</x:v>
      </x:c>
      <x:c r="F130" s="26" t="n">
        <x:v>9</x:v>
      </x:c>
      <x:c r="G130" s="26" t="str">
        <x:v>golden pages / CTH-02</x:v>
      </x:c>
      <x:c r="H130" s="26" t="str">
        <x:v>PARTIAL</x:v>
      </x:c>
      <x:c r="I130" s="26" t="str">
        <x:v>产品判断/验收</x:v>
      </x:c>
      <x:c r="J130" s="26" t="str">
        <x:v>把 AI-01 的用户问题、entry/return、PC/mobile composition、真实 fields/actions、state matrix、permission/evidence、acceptance 全部收敛成可施工 Spec。</x:v>
      </x:c>
      <x:c r="K130" s="26" t="str">
        <x:v>Experience Constitution §36 AI-01 blueprint；contracts/experience/screens/AI-01/；binding registry；BACKEND-GAP-029,030；当前 source owner/caller/tests。</x:v>
      </x:c>
      <x:c r="L130" s="26" t="str">
        <x:v>只更新/审核 contracts/experience/screen-specifications/&lt;ID&gt;.md 与必要 binding ledger；产品架构不变。</x:v>
      </x:c>
      <x:c r="M130" s="26" t="str">
        <x:v>禁止从 fixture 推断 production；UNKNOWN owner/API/permission/lineage 必须阻塞相应行为；禁止画成通用 dashboard。</x:v>
      </x:c>
      <x:c r="N130" s="26" t="str">
        <x:v>Spec 明确：单一 intent composer + 当前产品上下文/Evidence preview；建议任务必须来自可用能力。；主操作：输入 task → 确认 context/plan → executable 时才 start。；移动：单 prompt + context chip + expan dable plan。；所有字段/动作有 source 或明确 BLOCKED。</x:v>
      </x:c>
      <x:c r="O130" s="26" t="str">
        <x:v>python scripts/audit_tools/verify_experience_screen_blueprints.py；人工核对 Spec 10 sections 完整，产品 owner approval 记录清楚。</x:v>
      </x:c>
    </x:row>
    <x:row r="131" ht="42" customHeight="1">
      <x:c r="A131" s="26" t="n">
        <x:v>137</x:v>
      </x:c>
      <x:c r="B131" s="26" t="n">
        <x:v>127</x:v>
      </x:c>
      <x:c r="C131" s="26" t="str">
        <x:v>LUNA-126</x:v>
      </x:c>
      <x:c r="D131" s="26" t="str">
        <x:v>LUNA</x:v>
      </x:c>
      <x:c r="E131" s="26" t="str">
        <x:v>AI-01｜AI 意图入口：Backend / Binding 闭合</x:v>
      </x:c>
      <x:c r="F131" s="26" t="n">
        <x:v>9</x:v>
      </x:c>
      <x:c r="G131" s="26" t="str">
        <x:v>golden pages / CTH-02</x:v>
      </x:c>
      <x:c r="H131" s="26" t="str">
        <x:v>PARTIAL</x:v>
      </x:c>
      <x:c r="I131" s="26" t="str">
        <x:v>源码执行/验证</x:v>
      </x:c>
      <x:c r="J131" s="26" t="str">
        <x:v>仅关闭 AI-01 依赖的真实后端 binding：复用 canonical owner，把 scope/Permission/Evidence/state 绑定完整；不做 UI。</x:v>
      </x:c>
      <x:c r="K131" s="26" t="str">
        <x:v>已批准 AI-01 Screen Spec；BACKEND_GAP rows 029/030；当前 owner/caller/tests；binding registry。</x:v>
      </x:c>
      <x:c r="L131" s="26" t="str">
        <x:v>只改对应 canonical owner、最小 API/ViewModel adapter、contracts 与 targeted tests。</x:v>
      </x:c>
      <x:c r="M131" s="26" t="str">
        <x:v>禁止创建平行 DB/Evidence/Permission/Collector/AI owner；禁止 mock success；禁止 unscoped global data；禁止改 UI composition。</x:v>
      </x:c>
      <x:c r="N131" s="26" t="str">
        <x:v>保留 ai_intent + PermissionGate；先绑定可信 actor/context；provider configured/idle/offline 分开。；成功/空/未采集/离线/拒绝/错误可区分；binding registry 有当前 source evidence；acceptance 仍需 UI/E2E 。</x:v>
      </x:c>
      <x:c r="O131" s="26" t="str">
        <x:v>python -m pytest tests/test_experience_runtime.py tests/test_experience_e2e_candidate.py -q tests/test_ai_intent_permission.py -q</x:v>
      </x:c>
    </x:row>
    <x:row r="132" ht="42" customHeight="1">
      <x:c r="A132" s="26" t="n">
        <x:v>138</x:v>
      </x:c>
      <x:c r="B132" s="26" t="n">
        <x:v>128</x:v>
      </x:c>
      <x:c r="C132" s="26" t="str">
        <x:v>LUNA-127</x:v>
      </x:c>
      <x:c r="D132" s="26" t="str">
        <x:v>LUNA</x:v>
      </x:c>
      <x:c r="E132" s="26" t="str">
        <x:v>AI-01｜AI 意图入口：App UI / UX 实现</x:v>
      </x:c>
      <x:c r="F132" s="26" t="n">
        <x:v>9</x:v>
      </x:c>
      <x:c r="G132" s="26" t="str">
        <x:v>golden pages / CTH-02</x:v>
      </x:c>
      <x:c r="H132" s="26" t="str">
        <x:v>PARTIAL</x:v>
      </x:c>
      <x:c r="I132" s="26" t="str">
        <x:v>源码执行/验证</x:v>
      </x:c>
      <x:c r="J132" s="26" t="str">
        <x:v>在 backend contract 已可信后，实现 AI-01 的 purpose-built Flutter Experience。用户只看到任务、内容、结果与操作 ，系统内部 owner/tool/evidence contract 退到产品背后。</x:v>
      </x:c>
      <x:c r="K132" s="26" t="str">
        <x:v>已批准 AI-01 Spec；typed ViewModel/API；Experience Constitution；shared primitives whitelist；本页草图。</x:v>
      </x:c>
      <x:c r="L132" s="26" t="str">
        <x:v>仅 app/lib/features/ai01/** + app/test/features/ai01/**；必要时只复用已批准 shared primitives。</x:v>
      </x:c>
      <x:c r="M132" s="26" t="str">
        <x:v>禁止 generic renderer / Bento / KPI wall / SaaS dashboard / 换标题复用；禁止改 backend truth；禁止假数据；禁止 PC 缩放成 mobile。</x:v>
      </x:c>
      <x:c r="N132" s="26" t="str">
        <x:v>PC 与 mobile 均表达：单一 intent composer + 当前产品上下文/Evidence preview；建议任务必须来自可用能力。；主交 互完成：输入 task → 确认 context/plan → executable 时才 start。；mobile 重组：单 prompt + context chip + exp andable plan。；状态/Trace/Return/keyboard/touch/semantics 完整。</x:v>
      </x:c>
      <x:c r="O132" s="26" t="str">
        <x:v>cd app &amp;&amp; flutter analyze &amp;&amp; flutter test ; python scripts/audit_tools/verify_experience_anti_template.py --st rict</x:v>
      </x:c>
    </x:row>
    <x:row r="133" ht="42" customHeight="1">
      <x:c r="A133" s="26" t="n">
        <x:v>139</x:v>
      </x:c>
      <x:c r="B133" s="26" t="n">
        <x:v>129</x:v>
      </x:c>
      <x:c r="C133" s="26" t="str">
        <x:v>LUNA-128</x:v>
      </x:c>
      <x:c r="D133" s="26" t="str">
        <x:v>LUNA</x:v>
      </x:c>
      <x:c r="E133" s="26" t="str">
        <x:v>AI-01｜AI 意图入口：Acceptance / E2E 证据</x:v>
      </x:c>
      <x:c r="F133" s="26" t="n">
        <x:v>9</x:v>
      </x:c>
      <x:c r="G133" s="26" t="str">
        <x:v>golden pages / CTH-02</x:v>
      </x:c>
      <x:c r="H133" s="26" t="str">
        <x:v>PARTIAL</x:v>
      </x:c>
      <x:c r="I133" s="26" t="str">
        <x:v>源码执行/验证</x:v>
      </x:c>
      <x:c r="J133" s="26" t="str">
        <x:v>独立验证 AI-01 的真实用户任务，从 App action 到 API/Permission/Canonical/Evidence/result/Return，不以“页面能渲染”作为完成。</x:v>
      </x:c>
      <x:c r="K133" s="26" t="str">
        <x:v>AI-01 Spec acceptance IDs；Flutter tests；backend tests；runtime/E2E harness；真实/隔离数据按 tier 使用。</x:v>
      </x:c>
      <x:c r="L133" s="26" t="str">
        <x:v>只补测试、测试辅助与明确 bug fix；若发现实现问题回修本 screen owner。</x:v>
      </x:c>
      <x:c r="M133" s="26" t="str">
        <x:v>禁止降低 assertion；禁止 screenshot 自证；禁止把 excluded/quarantine 当 PASS；禁止 fixture 代替 live claim。</x:v>
      </x:c>
      <x:c r="N133" s="26" t="str">
        <x:v>Widget/API/integration 至少全绿；关键 responsive widths；blocked/error/retry/Trace/Return；需要 live 的标为 LIVE_VERIFIED 或明确未验证。</x:v>
      </x:c>
      <x:c r="O133" s="26" t="str">
        <x:v>cd app &amp;&amp; flutter analyze &amp;&amp; flutter test ; python -m pytest tests/test_experience_runtime.py tests/test_experience_e2e_candidate.py -q tests/test_ai_intent_permission.py -q ; python scripts/audit_too ls/verify_experience_authority_exclusive.py ; python scripts/audit_tools/verify_experience_anti_template.py --strict ; python scripts/audit_tools/verify_experience_screen_blueprints.py</x:v>
      </x:c>
    </x:row>
    <x:row r="134" ht="42" customHeight="1">
      <x:c r="A134" s="26" t="n">
        <x:v>140</x:v>
      </x:c>
      <x:c r="B134" s="26" t="n">
        <x:v>130</x:v>
      </x:c>
      <x:c r="C134" s="26" t="str">
        <x:v>SOL-129</x:v>
      </x:c>
      <x:c r="D134" s="26" t="str">
        <x:v>SOL</x:v>
      </x:c>
      <x:c r="E134" s="26" t="str">
        <x:v>AI-02｜能力任务工作台：Screen Spec 闭合</x:v>
      </x:c>
      <x:c r="F134" s="26" t="n">
        <x:v>14</x:v>
      </x:c>
      <x:c r="G134" s="26" t="str">
        <x:v>remaining ACC / AI / Shared / SYSTEM</x:v>
      </x:c>
      <x:c r="H134" s="26" t="str">
        <x:v>ABSENT</x:v>
      </x:c>
      <x:c r="I134" s="26" t="str">
        <x:v>产品判断/验收</x:v>
      </x:c>
      <x:c r="J134" s="26" t="str">
        <x:v>把 AI-02 的用户问题、entry/return、PC/mobile composition、真实 fields/actions、state matrix、permission/evidence、acceptance 全部收敛成可施工 Spec。</x:v>
      </x:c>
      <x:c r="K134" s="26" t="str">
        <x:v>Experience Constitution §36 AI-02 blueprint；contracts/experience/screens/AI-02/；binding registry；BACKEND-GAP-031；当前 source owner/caller/tests。</x:v>
      </x:c>
      <x:c r="L134" s="26" t="str">
        <x:v>只更新/审核 contracts/experience/screen-specifications/&lt;ID&gt;.md 与必要 binding ledger；产品架构不变。</x:v>
      </x:c>
      <x:c r="M134" s="26" t="str">
        <x:v>禁止从 fixture 推断 production；UNKNOWN owner/API/permission/lineage 必须阻塞相应行为；禁止画成通用 dashboard。</x:v>
      </x:c>
      <x:c r="N134" s="26" t="str">
        <x:v>Spec 明确：可取消 stages + 阶段间 artifact；每个 transition 暴露 Evidence 与 Permission 要求。；主操作：start/pause/cancel/retry safe stage；gated action 必须 review。；移动：纵向 progress path + pers istent cancel + Evidence expand。；所有字段/动作有 source 或明确 BLOCKED。</x:v>
      </x:c>
      <x:c r="O134" s="26" t="str">
        <x:v>python scripts/audit_tools/verify_experience_screen_blueprints.py；人工核对 Spec 10 sections 完整，产品 owner approval 记录清楚。</x:v>
      </x:c>
    </x:row>
    <x:row r="135" ht="42" customHeight="1">
      <x:c r="A135" s="26" t="n">
        <x:v>141</x:v>
      </x:c>
      <x:c r="B135" s="26" t="n">
        <x:v>131</x:v>
      </x:c>
      <x:c r="C135" s="26" t="str">
        <x:v>LUNA-130</x:v>
      </x:c>
      <x:c r="D135" s="26" t="str">
        <x:v>LUNA</x:v>
      </x:c>
      <x:c r="E135" s="26" t="str">
        <x:v>AI-02｜能力任务工作台：Backend / Binding 闭合</x:v>
      </x:c>
      <x:c r="F135" s="26" t="n">
        <x:v>14</x:v>
      </x:c>
      <x:c r="G135" s="26" t="str">
        <x:v>remaining ACC / AI / Shared / SYSTEM</x:v>
      </x:c>
      <x:c r="H135" s="26" t="str">
        <x:v>PARTIAL</x:v>
      </x:c>
      <x:c r="I135" s="26" t="str">
        <x:v>源码执行/验证</x:v>
      </x:c>
      <x:c r="J135" s="26" t="str">
        <x:v>仅关闭 AI-02 依赖的真实后端 binding：复用 canonical owner，把 scope/Permission/Evidence/state 绑定完整；不做 UI。</x:v>
      </x:c>
      <x:c r="K135" s="26" t="str">
        <x:v>已批准 AI-02 Screen Spec；BACKEND_GAP rows 031；当前 owner/caller/tests；binding registry。</x:v>
      </x:c>
      <x:c r="L135" s="26" t="str">
        <x:v>只改对应 canonical owner、最小 API/ViewModel adapter、contracts 与 targeted tests。</x:v>
      </x:c>
      <x:c r="M135" s="26" t="str">
        <x:v>禁止创建平行 DB/Evidence/Permission/Collector/AI owner；禁止 mock success；禁止 unscoped global data；禁止改 UI composition。</x:v>
      </x:c>
      <x:c r="N135" s="26" t="str">
        <x:v>复用 execution owner；先增加 actor/product-scoped read，writes 仍走 effect boundary。；成功/空/未采集/离线/拒绝/错误可区分；binding registry 有当前 source evidence；acceptance 仍需 UI/E2E。</x:v>
      </x:c>
      <x:c r="O135" s="26" t="str">
        <x:v>python -m pytest tests/test_experience_runtime.py tests/test_experience_e2e_candidate.py -q tests/test_ai_intent_permission.py -q</x:v>
      </x:c>
    </x:row>
    <x:row r="136" ht="42" customHeight="1">
      <x:c r="A136" s="26" t="n">
        <x:v>142</x:v>
      </x:c>
      <x:c r="B136" s="26" t="n">
        <x:v>132</x:v>
      </x:c>
      <x:c r="C136" s="26" t="str">
        <x:v>LUNA-131</x:v>
      </x:c>
      <x:c r="D136" s="26" t="str">
        <x:v>LUNA</x:v>
      </x:c>
      <x:c r="E136" s="26" t="str">
        <x:v>AI-02｜能力任务工作台：App UI / UX 实现</x:v>
      </x:c>
      <x:c r="F136" s="26" t="n">
        <x:v>14</x:v>
      </x:c>
      <x:c r="G136" s="26" t="str">
        <x:v>remaining ACC / AI / Shared / SYSTEM</x:v>
      </x:c>
      <x:c r="H136" s="26" t="str">
        <x:v>ABSENT</x:v>
      </x:c>
      <x:c r="I136" s="26" t="str">
        <x:v>源码执行/验证</x:v>
      </x:c>
      <x:c r="J136" s="26" t="str">
        <x:v>在 backend contract 已可信后，实现 AI-02 的 purpose-built Flutter Experience。用户只看到任务、内容、结果与操作 ，系统内部 owner/tool/evidence contract 退到产品背后。</x:v>
      </x:c>
      <x:c r="K136" s="26" t="str">
        <x:v>已批准 AI-02 Spec；typed ViewModel/API；Experience Constitution；shared primitives whitelist；本页草图。</x:v>
      </x:c>
      <x:c r="L136" s="26" t="str">
        <x:v>仅 app/lib/features/ai/**/ai02/** (或 Sol 审核后的同 owner feature slice) + matching app/test/**；必要时只复用 已批准 shared primitives。</x:v>
      </x:c>
      <x:c r="M136" s="26" t="str">
        <x:v>禁止 generic renderer / Bento / KPI wall / SaaS dashboard / 换标题复用；禁止改 backend truth；禁止假数据；禁止 PC 缩放成 mobile。</x:v>
      </x:c>
      <x:c r="N136" s="26" t="str">
        <x:v>PC 与 mobile 均表达：可取消 stages + 阶段间 artifact；每个 transition 暴露 Evidence 与 Permission 要求。；主交 互完成：start/pause/cancel/retry safe stage；gated action 必须 review。；mobile 重组：纵向 progress path + per sistent cancel + Evidence expand。；状态/Trace/Return/keyboard/touch/semantics 完整。</x:v>
      </x:c>
      <x:c r="O136" s="26" t="str">
        <x:v>cd app &amp;&amp; flutter analyze &amp;&amp; flutter test ; python scripts/audit_tools/verify_experience_anti_template.py --st rict</x:v>
      </x:c>
    </x:row>
    <x:row r="137" ht="42" customHeight="1">
      <x:c r="A137" s="26" t="n">
        <x:v>143</x:v>
      </x:c>
      <x:c r="B137" s="26" t="n">
        <x:v>133</x:v>
      </x:c>
      <x:c r="C137" s="26" t="str">
        <x:v>LUNA-132</x:v>
      </x:c>
      <x:c r="D137" s="26" t="str">
        <x:v>LUNA</x:v>
      </x:c>
      <x:c r="E137" s="26" t="str">
        <x:v>AI-02｜能力任务工作台：Acceptance / E2E 证据</x:v>
      </x:c>
      <x:c r="F137" s="26" t="n">
        <x:v>14</x:v>
      </x:c>
      <x:c r="G137" s="26" t="str">
        <x:v>remaining ACC / AI / Shared / SYSTEM</x:v>
      </x:c>
      <x:c r="H137" s="26" t="str">
        <x:v>ABSENT</x:v>
      </x:c>
      <x:c r="I137" s="26" t="str">
        <x:v>源码执行/验证</x:v>
      </x:c>
      <x:c r="J137" s="26" t="str">
        <x:v>独立验证 AI-02 的真实用户任务，从 App action 到 API/Permission/Canonical/Evidence/result/Return，不以“页面能渲染”作为完成。</x:v>
      </x:c>
      <x:c r="K137" s="26" t="str">
        <x:v>AI-02 Spec acceptance IDs；Flutter tests；backend tests；runtime/E2E harness；真实/隔离数据按 tier 使用。</x:v>
      </x:c>
      <x:c r="L137" s="26" t="str">
        <x:v>只补测试、测试辅助与明确 bug fix；若发现实现问题回修本 screen owner。</x:v>
      </x:c>
      <x:c r="M137" s="26" t="str">
        <x:v>禁止降低 assertion；禁止 screenshot 自证；禁止把 excluded/quarantine 当 PASS；禁止 fixture 代替 live claim。</x:v>
      </x:c>
      <x:c r="N137" s="26" t="str">
        <x:v>Widget/API/integration 至少全绿；关键 responsive widths；blocked/error/retry/Trace/Return；需要 live 的标为 LIVE_VERIFIED 或明确未验证。</x:v>
      </x:c>
      <x:c r="O137" s="26" t="str">
        <x:v>cd app &amp;&amp; flutter analyze &amp;&amp; flutter test ; python -m pytest tests/test_experience_runtime.py tests/test_experience_e2e_candidate.py -q tests/test_ai_intent_permission.py -q ; python scripts/audit_too ls/verify_experience_authority_exclusive.py ; python scripts/audit_tools/verify_experience_anti_template.py --strict ; python scripts/audit_tools/verify_experience_screen_blueprints.py</x:v>
      </x:c>
    </x:row>
    <x:row r="138" ht="42" customHeight="1">
      <x:c r="A138" s="26" t="n">
        <x:v>144</x:v>
      </x:c>
      <x:c r="B138" s="26" t="n">
        <x:v>134</x:v>
      </x:c>
      <x:c r="C138" s="26" t="str">
        <x:v>SOL-133</x:v>
      </x:c>
      <x:c r="D138" s="26" t="str">
        <x:v>SOL</x:v>
      </x:c>
      <x:c r="E138" s="26" t="str">
        <x:v>AI-03｜Evidence 锚定分析线程：Screen Spec 闭合</x:v>
      </x:c>
      <x:c r="F138" s="26" t="n">
        <x:v>14</x:v>
      </x:c>
      <x:c r="G138" s="26" t="str">
        <x:v>remaining ACC / AI / Shared / SYSTEM</x:v>
      </x:c>
      <x:c r="H138" s="26" t="str">
        <x:v>ABSENT</x:v>
      </x:c>
      <x:c r="I138" s="26" t="str">
        <x:v>产品判断/验收</x:v>
      </x:c>
      <x:c r="J138" s="26" t="str">
        <x:v>把 AI-03 的用户问题、entry/return、PC/mobile composition、真实 fields/actions、state matrix、permission/evidence、acceptance 全部收敛成可施工 Spec。</x:v>
      </x:c>
      <x:c r="K138" s="26" t="str">
        <x:v>Experience Constitution §36 AI-03 blueprint；contracts/experience/screens/AI-03/；binding registry；BACKEND-GAP-032,033；当前 source owner/caller/tests。</x:v>
      </x:c>
      <x:c r="L138" s="26" t="str">
        <x:v>只更新/审核 contracts/experience/screen-specifications/&lt;ID&gt;.md 与必要 binding ledger；产品架构不变。</x:v>
      </x:c>
      <x:c r="M138" s="26" t="str">
        <x:v>禁止从 fixture 推断 production；UNKNOWN owner/API/permission/lineage 必须阻塞相应行为；禁止画成通用 dashboard。</x:v>
      </x:c>
      <x:c r="N138" s="26" t="str">
        <x:v>Spec 明确：按结论组织 claim；每个 claim 内联 Evidence anchor、uncertainty、provenance rail。；主操作：开 source relevant passage → challenge/refine claim → follow-up task。；移动：claim cards + inli ne citations + full-screen source return。；所有字段/动作有 source 或明确 BLOCKED。</x:v>
      </x:c>
      <x:c r="O138" s="26" t="str">
        <x:v>python scripts/audit_tools/verify_experience_screen_blueprints.py；人工核对 Spec 10 sections 完整，产品 owner approval 记录清楚。</x:v>
      </x:c>
    </x:row>
    <x:row r="139" ht="42" customHeight="1">
      <x:c r="A139" s="26" t="n">
        <x:v>145</x:v>
      </x:c>
      <x:c r="B139" s="26" t="n">
        <x:v>135</x:v>
      </x:c>
      <x:c r="C139" s="26" t="str">
        <x:v>LUNA-134</x:v>
      </x:c>
      <x:c r="D139" s="26" t="str">
        <x:v>LUNA</x:v>
      </x:c>
      <x:c r="E139" s="26" t="str">
        <x:v>AI-03｜Evidence 锚定分析线程：Backend / Binding 闭合</x:v>
      </x:c>
      <x:c r="F139" s="26" t="n">
        <x:v>14</x:v>
      </x:c>
      <x:c r="G139" s="26" t="str">
        <x:v>remaining ACC / AI / Shared / SYSTEM</x:v>
      </x:c>
      <x:c r="H139" s="26" t="str">
        <x:v>PARTIAL</x:v>
      </x:c>
      <x:c r="I139" s="26" t="str">
        <x:v>源码执行/验证</x:v>
      </x:c>
      <x:c r="J139" s="26" t="str">
        <x:v>仅关闭 AI-03 依赖的真实后端 binding：复用 canonical owner，把 scope/Permission/Evidence/state 绑定完整；不做 UI。</x:v>
      </x:c>
      <x:c r="K139" s="26" t="str">
        <x:v>已批准 AI-03 Screen Spec；BACKEND_GAP rows 032/033；当前 owner/caller/tests；binding registry。</x:v>
      </x:c>
      <x:c r="L139" s="26" t="str">
        <x:v>只改对应 canonical owner、最小 API/ViewModel adapter、contracts 与 targeted tests。</x:v>
      </x:c>
      <x:c r="M139" s="26" t="str">
        <x:v>禁止创建平行 DB/Evidence/Permission/Collector/AI owner；禁止 mock success；禁止 unscoped global data；禁止改 UI composition。</x:v>
      </x:c>
      <x:c r="N139" s="26" t="str">
        <x:v>conversation store 当前不存在；Evidence 还跨 scope。先定义 thread scope/retention，再做 execution→Evidence join。；成功/空/未采集/离线/拒绝/错误可区分；binding registry 有当前 source evidence；accept ance 仍需 UI/E2E。</x:v>
      </x:c>
      <x:c r="O139" s="26" t="str">
        <x:v>python -m pytest tests/test_experience_runtime.py tests/test_experience_e2e_candidate.py -q tests/test_ai_intent_permission.py -q</x:v>
      </x:c>
    </x:row>
    <x:row r="140" ht="42" customHeight="1">
      <x:c r="A140" s="26" t="n">
        <x:v>146</x:v>
      </x:c>
      <x:c r="B140" s="26" t="n">
        <x:v>136</x:v>
      </x:c>
      <x:c r="C140" s="26" t="str">
        <x:v>LUNA-135</x:v>
      </x:c>
      <x:c r="D140" s="26" t="str">
        <x:v>LUNA</x:v>
      </x:c>
      <x:c r="E140" s="26" t="str">
        <x:v>AI-03｜Evidence 锚定分析线程：App UI / UX 实现</x:v>
      </x:c>
      <x:c r="F140" s="26" t="n">
        <x:v>14</x:v>
      </x:c>
      <x:c r="G140" s="26" t="str">
        <x:v>remaining ACC / AI / Shared / SYSTEM</x:v>
      </x:c>
      <x:c r="H140" s="26" t="str">
        <x:v>ABSENT</x:v>
      </x:c>
      <x:c r="I140" s="26" t="str">
        <x:v>源码执行/验证</x:v>
      </x:c>
      <x:c r="J140" s="26" t="str">
        <x:v>在 backend contract 已可信后，实现 AI-03 的 purpose-built Flutter Experience。用户只看到任务、内容、结果与操作 ，系统内部 owner/tool/evidence contract 退到产品背后。</x:v>
      </x:c>
      <x:c r="K140" s="26" t="str">
        <x:v>已批准 AI-03 Spec；typed ViewModel/API；Experience Constitution；shared primitives whitelist；本页草图。</x:v>
      </x:c>
      <x:c r="L140" s="26" t="str">
        <x:v>仅 app/lib/features/ai/**/ai03/** (或 Sol 审核后的同 owner feature slice) + matching app/test/**；必要时只复用 已批准 shared primitives。</x:v>
      </x:c>
      <x:c r="M140" s="26" t="str">
        <x:v>禁止 generic renderer / Bento / KPI wall / SaaS dashboard / 换标题复用；禁止改 backend truth；禁止假数据；禁止 PC 缩放成 mobile。</x:v>
      </x:c>
      <x:c r="N140" s="26" t="str">
        <x:v>PC 与 mobile 均表达：按结论组织 claim；每个 claim 内联 Evidence anchor、uncertainty、provenance rail。；主交互 完成：开 source relevant passage → challenge/refine claim → follow-up task。；mobile 重组：claim cards + inl ine citations + full-screen source return。；状态/Trace/Return/keyboard/touch/semantics 完整。</x:v>
      </x:c>
      <x:c r="O140" s="26" t="str">
        <x:v>cd app &amp;&amp; flutter analyze &amp;&amp; flutter test ; python scripts/audit_tools/verify_experience_anti_template.py --st rict</x:v>
      </x:c>
    </x:row>
    <x:row r="141" ht="42" customHeight="1">
      <x:c r="A141" s="26" t="n">
        <x:v>147</x:v>
      </x:c>
      <x:c r="B141" s="26" t="n">
        <x:v>137</x:v>
      </x:c>
      <x:c r="C141" s="26" t="str">
        <x:v>LUNA-136</x:v>
      </x:c>
      <x:c r="D141" s="26" t="str">
        <x:v>LUNA</x:v>
      </x:c>
      <x:c r="E141" s="26" t="str">
        <x:v>AI-03｜Evidence 锚定分析线程：Acceptance / E2E 证据</x:v>
      </x:c>
      <x:c r="F141" s="26" t="n">
        <x:v>14</x:v>
      </x:c>
      <x:c r="G141" s="26" t="str">
        <x:v>remaining ACC / AI / Shared / SYSTEM</x:v>
      </x:c>
      <x:c r="H141" s="26" t="str">
        <x:v>ABSENT</x:v>
      </x:c>
      <x:c r="I141" s="26" t="str">
        <x:v>源码执行/验证</x:v>
      </x:c>
      <x:c r="J141" s="26" t="str">
        <x:v>独立验证 AI-03 的真实用户任务，从 App action 到 API/Permission/Canonical/Evidence/result/Return，不以“页面能渲染”作为完成。</x:v>
      </x:c>
      <x:c r="K141" s="26" t="str">
        <x:v>AI-03 Spec acceptance IDs；Flutter tests；backend tests；runtime/E2E harness；真实/隔离数据按 tier 使用。</x:v>
      </x:c>
      <x:c r="L141" s="26" t="str">
        <x:v>只补测试、测试辅助与明确 bug fix；若发现实现问题回修本 screen owner。</x:v>
      </x:c>
      <x:c r="M141" s="26" t="str">
        <x:v>禁止降低 assertion；禁止 screenshot 自证；禁止把 excluded/quarantine 当 PASS；禁止 fixture 代替 live claim。</x:v>
      </x:c>
      <x:c r="N141" s="26" t="str">
        <x:v>Widget/API/integration 至少全绿；关键 responsive widths；blocked/error/retry/Trace/Return；需要 live 的标为 LIVE_VERIFIED 或明确未验证。</x:v>
      </x:c>
      <x:c r="O141" s="26" t="str">
        <x:v>cd app &amp;&amp; flutter analyze &amp;&amp; flutter test ; python -m pytest tests/test_experience_runtime.py tests/test_experience_e2e_candidate.py -q tests/test_ai_intent_permission.py -q ; python scripts/audit_too ls/verify_experience_authority_exclusive.py ; python scripts/audit_tools/verify_experience_anti_template.py --strict ; python scripts/audit_tools/verify_experience_screen_blueprints.py</x:v>
      </x:c>
    </x:row>
    <x:row r="142" ht="42" customHeight="1">
      <x:c r="A142" s="26" t="n">
        <x:v>148</x:v>
      </x:c>
      <x:c r="B142" s="26" t="n">
        <x:v>138</x:v>
      </x:c>
      <x:c r="C142" s="26" t="str">
        <x:v>SOL-137</x:v>
      </x:c>
      <x:c r="D142" s="26" t="str">
        <x:v>SOL</x:v>
      </x:c>
      <x:c r="E142" s="26" t="str">
        <x:v>AI-04｜Agent 与 Skill 目录：Screen Spec 闭合</x:v>
      </x:c>
      <x:c r="F142" s="26" t="n">
        <x:v>14</x:v>
      </x:c>
      <x:c r="G142" s="26" t="str">
        <x:v>remaining ACC / AI / Shared / SYSTEM</x:v>
      </x:c>
      <x:c r="H142" s="26" t="str">
        <x:v>ABSENT</x:v>
      </x:c>
      <x:c r="I142" s="26" t="str">
        <x:v>产品判断/验收</x:v>
      </x:c>
      <x:c r="J142" s="26" t="str">
        <x:v>把 AI-04 的用户问题、entry/return、PC/mobile composition、真实 fields/actions、state matrix、permission/evidence、acceptance 全部收敛成可施工 Spec。</x:v>
      </x:c>
      <x:c r="K142" s="26" t="str">
        <x:v>Experience Constitution §36 AI-04 blueprint；contracts/experience/screens/AI-04/；binding registry；BACKEND-GAP-034；当前 source owner/caller/tests。</x:v>
      </x:c>
      <x:c r="L142" s="26" t="str">
        <x:v>只更新/审核 contracts/experience/screen-specifications/&lt;ID&gt;.md 与必要 binding ledger；产品架构不变。</x:v>
      </x:c>
      <x:c r="M142" s="26" t="str">
        <x:v>禁止从 fixture 推断 production；UNKNOWN owner/API/permission/lineage 必须阻塞相应行为；禁止画成通用 dashboard。</x:v>
      </x:c>
      <x:c r="N142" s="26" t="str">
        <x:v>Spec 明确：能力矩阵只展示 owner、任务、permission、health、last verified call；代码存在不等于可用。；主操作：按任务 filter → 看 I/O/permission → 运行 verified safe capability。；移动：可搜索 capabil ity list + detail sheet。；所有字段/动作有 source 或明确 BLOCKED。</x:v>
      </x:c>
      <x:c r="O142" s="26" t="str">
        <x:v>python scripts/audit_tools/verify_experience_screen_blueprints.py；人工核对 Spec 10 sections 完整，产品 owner approval 记录清楚。</x:v>
      </x:c>
    </x:row>
    <x:row r="143" ht="42" customHeight="1">
      <x:c r="A143" s="26" t="n">
        <x:v>149</x:v>
      </x:c>
      <x:c r="B143" s="26" t="n">
        <x:v>139</x:v>
      </x:c>
      <x:c r="C143" s="26" t="str">
        <x:v>LUNA-138</x:v>
      </x:c>
      <x:c r="D143" s="26" t="str">
        <x:v>LUNA</x:v>
      </x:c>
      <x:c r="E143" s="26" t="str">
        <x:v>AI-04｜Agent 与 Skill 目录：Backend / Binding 闭合</x:v>
      </x:c>
      <x:c r="F143" s="26" t="n">
        <x:v>14</x:v>
      </x:c>
      <x:c r="G143" s="26" t="str">
        <x:v>remaining ACC / AI / Shared / SYSTEM</x:v>
      </x:c>
      <x:c r="H143" s="26" t="str">
        <x:v>PARTIAL</x:v>
      </x:c>
      <x:c r="I143" s="26" t="str">
        <x:v>源码执行/验证</x:v>
      </x:c>
      <x:c r="J143" s="26" t="str">
        <x:v>仅关闭 AI-04 依赖的真实后端 binding：复用 canonical owner，把 scope/Permission/Evidence/state 绑定完整；不做 UI。</x:v>
      </x:c>
      <x:c r="K143" s="26" t="str">
        <x:v>已批准 AI-04 Screen Spec；BACKEND_GAP rows 034；当前 owner/caller/tests；binding registry。</x:v>
      </x:c>
      <x:c r="L143" s="26" t="str">
        <x:v>只改对应 canonical owner、最小 API/ViewModel adapter、contracts 与 targeted tests。</x:v>
      </x:c>
      <x:c r="M143" s="26" t="str">
        <x:v>禁止创建平行 DB/Evidence/Permission/Collector/AI owner；禁止 mock success；禁止 unscoped global data；禁止改 UI composition。</x:v>
      </x:c>
      <x:c r="N143" s="26" t="str">
        <x:v>绑定 canonical SkillRegistry，不用旧 FUNCTION_MAP 作为最终 truth；registration 与 health 分开。；成功/空/未采集/离线/拒绝/错误可区分；binding registry 有当前 source evidence；acceptance 仍需 UI/E2E。</x:v>
      </x:c>
      <x:c r="O143" s="26" t="str">
        <x:v>python -m pytest tests/test_experience_runtime.py tests/test_experience_e2e_candidate.py -q tests/test_ai_intent_permission.py -q</x:v>
      </x:c>
    </x:row>
    <x:row r="144" ht="42" customHeight="1">
      <x:c r="A144" s="26" t="n">
        <x:v>150</x:v>
      </x:c>
      <x:c r="B144" s="26" t="n">
        <x:v>140</x:v>
      </x:c>
      <x:c r="C144" s="26" t="str">
        <x:v>LUNA-139</x:v>
      </x:c>
      <x:c r="D144" s="26" t="str">
        <x:v>LUNA</x:v>
      </x:c>
      <x:c r="E144" s="26" t="str">
        <x:v>AI-04｜Agent 与 Skill 目录：App UI / UX 实现</x:v>
      </x:c>
      <x:c r="F144" s="26" t="n">
        <x:v>14</x:v>
      </x:c>
      <x:c r="G144" s="26" t="str">
        <x:v>remaining ACC / AI / Shared / SYSTEM</x:v>
      </x:c>
      <x:c r="H144" s="26" t="str">
        <x:v>ABSENT</x:v>
      </x:c>
      <x:c r="I144" s="26" t="str">
        <x:v>源码执行/验证</x:v>
      </x:c>
      <x:c r="J144" s="26" t="str">
        <x:v>在 backend contract 已可信后，实现 AI-04 的 purpose-built Flutter Experience。用户只看到任务、内容、结果与操作 ，系统内部 owner/tool/evidence contract 退到产品背后。</x:v>
      </x:c>
      <x:c r="K144" s="26" t="str">
        <x:v>已批准 AI-04 Spec；typed ViewModel/API；Experience Constitution；shared primitives whitelist；本页草图。</x:v>
      </x:c>
      <x:c r="L144" s="26" t="str">
        <x:v>仅 app/lib/features/ai/**/ai04/** (或 Sol 审核后的同 owner feature slice) + matching app/test/**；必要时只复用 已批准 shared primitives。</x:v>
      </x:c>
      <x:c r="M144" s="26" t="str">
        <x:v>禁止 generic renderer / Bento / KPI wall / SaaS dashboard / 换标题复用；禁止改 backend truth；禁止假数据；禁止 PC 缩放成 mobile。</x:v>
      </x:c>
      <x:c r="N144" s="26" t="str">
        <x:v>PC 与 mobile 均表达：能力矩阵只展示 owner、任务、permission、health、last verified call；代码存在不等于可用。 ；主交互完成：按任务 filter → 看 I/O/permission → 运行 verified safe capability。；mobile 重组：可搜索 capab ility list + detail sheet。；状态/Trace/Return/keyboard/touch/semantics 完整。</x:v>
      </x:c>
      <x:c r="O144" s="26" t="str">
        <x:v>cd app &amp;&amp; flutter analyze &amp;&amp; flutter test ; python scripts/audit_tools/verify_experience_anti_template.py --st rict</x:v>
      </x:c>
    </x:row>
    <x:row r="145" ht="42" customHeight="1">
      <x:c r="A145" s="26" t="n">
        <x:v>151</x:v>
      </x:c>
      <x:c r="B145" s="26" t="n">
        <x:v>141</x:v>
      </x:c>
      <x:c r="C145" s="26" t="str">
        <x:v>LUNA-140</x:v>
      </x:c>
      <x:c r="D145" s="26" t="str">
        <x:v>LUNA</x:v>
      </x:c>
      <x:c r="E145" s="26" t="str">
        <x:v>AI-04｜Agent 与 Skill 目录：Acceptance / E2E 证据</x:v>
      </x:c>
      <x:c r="F145" s="26" t="n">
        <x:v>14</x:v>
      </x:c>
      <x:c r="G145" s="26" t="str">
        <x:v>remaining ACC / AI / Shared / SYSTEM</x:v>
      </x:c>
      <x:c r="H145" s="26" t="str">
        <x:v>ABSENT</x:v>
      </x:c>
      <x:c r="I145" s="26" t="str">
        <x:v>源码执行/验证</x:v>
      </x:c>
      <x:c r="J145" s="26" t="str">
        <x:v>独立验证 AI-04 的真实用户任务，从 App action 到 API/Permission/Canonical/Evidence/result/Return，不以“页面能渲染”作为完成。</x:v>
      </x:c>
      <x:c r="K145" s="26" t="str">
        <x:v>AI-04 Spec acceptance IDs；Flutter tests；backend tests；runtime/E2E harness；真实/隔离数据按 tier 使用。</x:v>
      </x:c>
      <x:c r="L145" s="26" t="str">
        <x:v>只补测试、测试辅助与明确 bug fix；若发现实现问题回修本 screen owner。</x:v>
      </x:c>
      <x:c r="M145" s="26" t="str">
        <x:v>禁止降低 assertion；禁止 screenshot 自证；禁止把 excluded/quarantine 当 PASS；禁止 fixture 代替 live claim。</x:v>
      </x:c>
      <x:c r="N145" s="26" t="str">
        <x:v>Widget/API/integration 至少全绿；关键 responsive widths；blocked/error/retry/Trace/Return；需要 live 的标为 LIVE_VERIFIED 或明确未验证。</x:v>
      </x:c>
      <x:c r="O145" s="26" t="str">
        <x:v>cd app &amp;&amp; flutter analyze &amp;&amp; flutter test ; python -m pytest tests/test_experience_runtime.py tests/test_experience_e2e_candidate.py -q tests/test_ai_intent_permission.py -q ; python scripts/audit_too ls/verify_experience_authority_exclusive.py ; python scripts/audit_tools/verify_experience_anti_template.py --strict ; python scripts/audit_tools/verify_experience_screen_blueprints.py</x:v>
      </x:c>
    </x:row>
    <x:row r="146" ht="42" customHeight="1">
      <x:c r="A146" s="26" t="n">
        <x:v>152</x:v>
      </x:c>
      <x:c r="B146" s="26" t="n">
        <x:v>142</x:v>
      </x:c>
      <x:c r="C146" s="26" t="str">
        <x:v>SOL-141</x:v>
      </x:c>
      <x:c r="D146" s="26" t="str">
        <x:v>SOL</x:v>
      </x:c>
      <x:c r="E146" s="26" t="str">
        <x:v>AI-05｜AI Gateway 与 Providers：Screen Spec 闭合</x:v>
      </x:c>
      <x:c r="F146" s="26" t="n">
        <x:v>14</x:v>
      </x:c>
      <x:c r="G146" s="26" t="str">
        <x:v>remaining ACC / AI / Shared / SYSTEM</x:v>
      </x:c>
      <x:c r="H146" s="26" t="str">
        <x:v>ABSENT</x:v>
      </x:c>
      <x:c r="I146" s="26" t="str">
        <x:v>产品判断/验收</x:v>
      </x:c>
      <x:c r="J146" s="26" t="str">
        <x:v>把 AI-05 的用户问题、entry/return、PC/mobile composition、真实 fields/actions、state matrix、permission/evidence、acceptance 全部收敛成可施工 Spec。</x:v>
      </x:c>
      <x:c r="K146" s="26" t="str">
        <x:v>Experience Constitution §36 AI-05 blueprint；contracts/experience/screens/AI-05/；binding registry；BACKEND-GAP-035；当前 source owner/caller/tests。</x:v>
      </x:c>
      <x:c r="L146" s="26" t="str">
        <x:v>只更新/审核 contracts/experience/screen-specifications/&lt;ID&gt;.md 与必要 binding ledger；产品架构不变。</x:v>
      </x:c>
      <x:c r="M146" s="26" t="str">
        <x:v>禁止从 fixture 推断 production；UNKNOWN owner/API/permission/lineage 必须阻塞相应行为；禁止画成通用 dashboard。</x:v>
      </x:c>
      <x:c r="N146" s="26" t="str">
        <x:v>Spec 明确：Provider topology 表示 availability/latency/policy/fallback，Rules/Data 保持核心主线。；主操作：看 provider state 或 diagnostic；fallback 可观察且不阻塞核心业务。；移动：provider list + fal lback/last-check。；所有字段/动作有 source 或明确 BLOCKED。</x:v>
      </x:c>
      <x:c r="O146" s="26" t="str">
        <x:v>python scripts/audit_tools/verify_experience_screen_blueprints.py；人工核对 Spec 10 sections 完整，产品 owner approval 记录清楚。</x:v>
      </x:c>
    </x:row>
    <x:row r="147" ht="42" customHeight="1">
      <x:c r="A147" s="26" t="n">
        <x:v>153</x:v>
      </x:c>
      <x:c r="B147" s="26" t="n">
        <x:v>143</x:v>
      </x:c>
      <x:c r="C147" s="26" t="str">
        <x:v>LUNA-142</x:v>
      </x:c>
      <x:c r="D147" s="26" t="str">
        <x:v>LUNA</x:v>
      </x:c>
      <x:c r="E147" s="26" t="str">
        <x:v>AI-05｜AI Gateway 与 Providers：Backend / Binding 闭合</x:v>
      </x:c>
      <x:c r="F147" s="26" t="n">
        <x:v>14</x:v>
      </x:c>
      <x:c r="G147" s="26" t="str">
        <x:v>remaining ACC / AI / Shared / SYSTEM</x:v>
      </x:c>
      <x:c r="H147" s="26" t="str">
        <x:v>PARTIAL</x:v>
      </x:c>
      <x:c r="I147" s="26" t="str">
        <x:v>源码执行/验证</x:v>
      </x:c>
      <x:c r="J147" s="26" t="str">
        <x:v>仅关闭 AI-05 依赖的真实后端 binding：复用 canonical owner，把 scope/Permission/Evidence/state 绑定完整；不做 UI。</x:v>
      </x:c>
      <x:c r="K147" s="26" t="str">
        <x:v>已批准 AI-05 Screen Spec；BACKEND_GAP rows 035；当前 owner/caller/tests；binding registry。</x:v>
      </x:c>
      <x:c r="L147" s="26" t="str">
        <x:v>只改对应 canonical owner、最小 API/ViewModel adapter、contracts 与 targeted tests。</x:v>
      </x:c>
      <x:c r="M147" s="26" t="str">
        <x:v>禁止创建平行 DB/Evidence/Permission/Collector/AI owner；禁止 mock success；禁止 unscoped global data；禁止改 UI composition。</x:v>
      </x:c>
      <x:c r="N147" s="26" t="str">
        <x:v>复用 AI Gateway status；readiness 必须来自真实 probe，unknown/offline 保留。；成功/空/未采集/离线/拒绝/错误可区分；binding registry 有当前 source evidence；acceptance 仍需 UI/E2E。</x:v>
      </x:c>
      <x:c r="O147" s="26" t="str">
        <x:v>python -m pytest tests/test_experience_runtime.py tests/test_experience_e2e_candidate.py -q tests/test_ai_intent_permission.py -q</x:v>
      </x:c>
    </x:row>
    <x:row r="148" ht="42" customHeight="1">
      <x:c r="A148" s="26" t="n">
        <x:v>154</x:v>
      </x:c>
      <x:c r="B148" s="26" t="n">
        <x:v>144</x:v>
      </x:c>
      <x:c r="C148" s="26" t="str">
        <x:v>LUNA-143</x:v>
      </x:c>
      <x:c r="D148" s="26" t="str">
        <x:v>LUNA</x:v>
      </x:c>
      <x:c r="E148" s="26" t="str">
        <x:v>AI-05｜AI Gateway 与 Providers：App UI / UX 实现</x:v>
      </x:c>
      <x:c r="F148" s="26" t="n">
        <x:v>14</x:v>
      </x:c>
      <x:c r="G148" s="26" t="str">
        <x:v>remaining ACC / AI / Shared / SYSTEM</x:v>
      </x:c>
      <x:c r="H148" s="26" t="str">
        <x:v>ABSENT</x:v>
      </x:c>
      <x:c r="I148" s="26" t="str">
        <x:v>源码执行/验证</x:v>
      </x:c>
      <x:c r="J148" s="26" t="str">
        <x:v>在 backend contract 已可信后，实现 AI-05 的 purpose-built Flutter Experience。用户只看到任务、内容、结果与操作 ，系统内部 owner/tool/evidence contract 退到产品背后。</x:v>
      </x:c>
      <x:c r="K148" s="26" t="str">
        <x:v>已批准 AI-05 Spec；typed ViewModel/API；Experience Constitution；shared primitives whitelist；本页草图。</x:v>
      </x:c>
      <x:c r="L148" s="26" t="str">
        <x:v>仅 app/lib/features/ai/**/ai05/** (或 Sol 审核后的同 owner feature slice) + matching app/test/**；必要时只复用 已批准 shared primitives。</x:v>
      </x:c>
      <x:c r="M148" s="26" t="str">
        <x:v>禁止 generic renderer / Bento / KPI wall / SaaS dashboard / 换标题复用；禁止改 backend truth；禁止假数据；禁止 PC 缩放成 mobile。</x:v>
      </x:c>
      <x:c r="N148" s="26" t="str">
        <x:v>PC 与 mobile 均表达：Provider topology 表示 availability/latency/policy/fallback，Rules/Data 保持核心主线。； 主交互完成：看 provider state 或 diagnostic；fallback 可观察且不阻塞核心业务。；mobile 重组：provider list + f allback/last-check。；状态/Trace/Return/keyboard/touch/semantics 完整。</x:v>
      </x:c>
      <x:c r="O148" s="26" t="str">
        <x:v>cd app &amp;&amp; flutter analyze &amp;&amp; flutter test ; python scripts/audit_tools/verify_experience_anti_template.py --st rict</x:v>
      </x:c>
    </x:row>
    <x:row r="149" ht="42" customHeight="1">
      <x:c r="A149" s="26" t="n">
        <x:v>155</x:v>
      </x:c>
      <x:c r="B149" s="26" t="n">
        <x:v>145</x:v>
      </x:c>
      <x:c r="C149" s="26" t="str">
        <x:v>LUNA-144</x:v>
      </x:c>
      <x:c r="D149" s="26" t="str">
        <x:v>LUNA</x:v>
      </x:c>
      <x:c r="E149" s="26" t="str">
        <x:v>AI-05｜AI Gateway 与 Providers：Acceptance / E2E 证据</x:v>
      </x:c>
      <x:c r="F149" s="26" t="n">
        <x:v>14</x:v>
      </x:c>
      <x:c r="G149" s="26" t="str">
        <x:v>remaining ACC / AI / Shared / SYSTEM</x:v>
      </x:c>
      <x:c r="H149" s="26" t="str">
        <x:v>ABSENT</x:v>
      </x:c>
      <x:c r="I149" s="26" t="str">
        <x:v>源码执行/验证</x:v>
      </x:c>
      <x:c r="J149" s="26" t="str">
        <x:v>独立验证 AI-05 的真实用户任务，从 App action 到 API/Permission/Canonical/Evidence/result/Return，不以“页面能渲染”作为完成。</x:v>
      </x:c>
      <x:c r="K149" s="26" t="str">
        <x:v>AI-05 Spec acceptance IDs；Flutter tests；backend tests；runtime/E2E harness；真实/隔离数据按 tier 使用。</x:v>
      </x:c>
      <x:c r="L149" s="26" t="str">
        <x:v>只补测试、测试辅助与明确 bug fix；若发现实现问题回修本 screen owner。</x:v>
      </x:c>
      <x:c r="M149" s="26" t="str">
        <x:v>禁止降低 assertion；禁止 screenshot 自证；禁止把 excluded/quarantine 当 PASS；禁止 fixture 代替 live claim。</x:v>
      </x:c>
      <x:c r="N149" s="26" t="str">
        <x:v>Widget/API/integration 至少全绿；关键 responsive widths；blocked/error/retry/Trace/Return；需要 live 的标为 LIVE_VERIFIED 或明确未验证。</x:v>
      </x:c>
      <x:c r="O149" s="26" t="str">
        <x:v>cd app &amp;&amp; flutter analyze &amp;&amp; flutter test ; python -m pytest tests/test_experience_runtime.py tests/test_experience_e2e_candidate.py -q tests/test_ai_intent_permission.py -q ; python scripts/audit_too ls/verify_experience_authority_exclusive.py ; python scripts/audit_tools/verify_experience_anti_template.py --strict ; python scripts/audit_tools/verify_experience_screen_blueprints.py</x:v>
      </x:c>
    </x:row>
    <x:row r="150" ht="42" customHeight="1">
      <x:c r="A150" s="26" t="n">
        <x:v>156</x:v>
      </x:c>
      <x:c r="B150" s="26" t="n">
        <x:v>146</x:v>
      </x:c>
      <x:c r="C150" s="26" t="str">
        <x:v>SOL-145</x:v>
      </x:c>
      <x:c r="D150" s="26" t="str">
        <x:v>SOL</x:v>
      </x:c>
      <x:c r="E150" s="26" t="str">
        <x:v>SYS-01｜Runtime 健康：Screen Spec 闭合</x:v>
      </x:c>
      <x:c r="F150" s="26" t="n">
        <x:v>9</x:v>
      </x:c>
      <x:c r="G150" s="26" t="str">
        <x:v>golden pages / CTH-02</x:v>
      </x:c>
      <x:c r="H150" s="26" t="str">
        <x:v>PARTIAL</x:v>
      </x:c>
      <x:c r="I150" s="26" t="str">
        <x:v>产品判断/验收</x:v>
      </x:c>
      <x:c r="J150" s="26" t="str">
        <x:v>把 SYS-01 的用户问题、entry/return、PC/mobile composition、真实 fields/actions、state matrix、permission/evidence、acceptance 全部收敛成可施工 Spec。</x:v>
      </x:c>
      <x:c r="K150" s="26" t="str">
        <x:v>Experience Constitution §36 SYS-01 blueprint；contracts/experience/screens/SYS-01/；binding registry；BACKEND-GAP-036；当前 source owner/caller/tests。</x:v>
      </x:c>
      <x:c r="L150" s="26" t="str">
        <x:v>只更新/审核 contracts/experience/screen-specifications/&lt;ID&gt;.md 与必要 binding ledger；产品架构不变。</x:v>
      </x:c>
      <x:c r="M150" s="26" t="str">
        <x:v>禁止从 fixture 推断 production；UNKNOWN owner/API/permission/lineage 必须阻塞相应行为；禁止画成通用 dashboard。</x:v>
      </x:c>
      <x:c r="N150" s="26" t="str">
        <x:v>Spec 明确：App → API → DB → Adapter 的运行 topology，显示 degradation 与 check time。；主操作：开 failing dependency diagnostic；authorized recovery 才可执行。；移动：ordered dependency list + focu sed diagnostic。；所有字段/动作有 source 或明确 BLOCKED。</x:v>
      </x:c>
      <x:c r="O150" s="26" t="str">
        <x:v>python scripts/audit_tools/verify_experience_screen_blueprints.py；人工核对 Spec 10 sections 完整，产品 owner approval 记录清楚。</x:v>
      </x:c>
    </x:row>
    <x:row r="151" ht="42" customHeight="1">
      <x:c r="A151" s="26" t="n">
        <x:v>157</x:v>
      </x:c>
      <x:c r="B151" s="26" t="n">
        <x:v>147</x:v>
      </x:c>
      <x:c r="C151" s="26" t="str">
        <x:v>LUNA-146</x:v>
      </x:c>
      <x:c r="D151" s="26" t="str">
        <x:v>LUNA</x:v>
      </x:c>
      <x:c r="E151" s="26" t="str">
        <x:v>SYS-01｜Runtime 健康：Backend / Binding 闭合</x:v>
      </x:c>
      <x:c r="F151" s="26" t="n">
        <x:v>9</x:v>
      </x:c>
      <x:c r="G151" s="26" t="str">
        <x:v>golden pages / CTH-02</x:v>
      </x:c>
      <x:c r="H151" s="26" t="str">
        <x:v>PARTIAL</x:v>
      </x:c>
      <x:c r="I151" s="26" t="str">
        <x:v>源码执行/验证</x:v>
      </x:c>
      <x:c r="J151" s="26" t="str">
        <x:v>仅关闭 SYS-01 依赖的真实后端 binding：复用 canonical owner，把 scope/Permission/Evidence/state 绑定完整；不做 UI。</x:v>
      </x:c>
      <x:c r="K151" s="26" t="str">
        <x:v>已批准 SYS-01 Screen Spec；BACKEND_GAP rows 036；当前 owner/caller/tests；binding registry。</x:v>
      </x:c>
      <x:c r="L151" s="26" t="str">
        <x:v>只改对应 canonical owner、最小 API/ViewModel adapter、contracts 与 targeted tests。</x:v>
      </x:c>
      <x:c r="M151" s="26" t="str">
        <x:v>禁止创建平行 DB/Evidence/Permission/Collector/AI owner；禁止 mock success；禁止 unscoped global data；禁止改 UI composition。</x:v>
      </x:c>
      <x:c r="N151" s="26" t="str">
        <x:v>现有 RuntimeGuardian read slice 可用；补 SYSTEM actor Permission，null/offline 不能变 healthy。；成功/空/未采集/离线/拒绝/错误可区分；binding registry 有当前 source evidence；acceptance 仍需 UI/E2E。</x:v>
      </x:c>
      <x:c r="O151" s="26" t="str">
        <x:v>python -m pytest tests/test_experience_runtime.py tests/test_experience_e2e_candidate.py -q</x:v>
      </x:c>
    </x:row>
    <x:row r="152" ht="42" customHeight="1">
      <x:c r="A152" s="26" t="n">
        <x:v>158</x:v>
      </x:c>
      <x:c r="B152" s="26" t="n">
        <x:v>148</x:v>
      </x:c>
      <x:c r="C152" s="26" t="str">
        <x:v>LUNA-147</x:v>
      </x:c>
      <x:c r="D152" s="26" t="str">
        <x:v>LUNA</x:v>
      </x:c>
      <x:c r="E152" s="26" t="str">
        <x:v>SYS-01｜Runtime 健康：App UI / UX 实现</x:v>
      </x:c>
      <x:c r="F152" s="26" t="n">
        <x:v>9</x:v>
      </x:c>
      <x:c r="G152" s="26" t="str">
        <x:v>golden pages / CTH-02</x:v>
      </x:c>
      <x:c r="H152" s="26" t="str">
        <x:v>PARTIAL</x:v>
      </x:c>
      <x:c r="I152" s="26" t="str">
        <x:v>源码执行/验证</x:v>
      </x:c>
      <x:c r="J152" s="26" t="str">
        <x:v>在 backend contract 已可信后，实现 SYS-01 的 purpose-built Flutter Experience。用户只看到任务、内容、结果与操 作，系统内部 owner/tool/evidence contract 退到产品背后。</x:v>
      </x:c>
      <x:c r="K152" s="26" t="str">
        <x:v>已批准 SYS-01 Spec；typed ViewModel/API；Experience Constitution；shared primitives whitelist；本页草图。</x:v>
      </x:c>
      <x:c r="L152" s="26" t="str">
        <x:v>仅 app/lib/features/system/sys01/** + app/test/features/system/sys01/**；必要时只复用已批准 shared primitives 。</x:v>
      </x:c>
      <x:c r="M152" s="26" t="str">
        <x:v>禁止 generic renderer / Bento / KPI wall / SaaS dashboard / 换标题复用；禁止改 backend truth；禁止假数据；禁止 PC 缩放成 mobile。</x:v>
      </x:c>
      <x:c r="N152" s="26" t="str">
        <x:v>PC 与 mobile 均表达：App → API → DB → Adapter 的运行 topology，显示 degradation 与 check time。；主交互完成 ：开 failing dependency diagnostic；authorized recovery 才可执行。；mobile 重组：ordered dependency list + foc used diagnostic。；状态/Trace/Return/keyboard/touch/semantics 完整。</x:v>
      </x:c>
      <x:c r="O152" s="26" t="str">
        <x:v>cd app &amp;&amp; flutter analyze &amp;&amp; flutter test ; python scripts/audit_tools/verify_experience_anti_template.py --st rict</x:v>
      </x:c>
    </x:row>
    <x:row r="153" ht="42" customHeight="1">
      <x:c r="A153" s="26" t="n">
        <x:v>159</x:v>
      </x:c>
      <x:c r="B153" s="26" t="n">
        <x:v>149</x:v>
      </x:c>
      <x:c r="C153" s="26" t="str">
        <x:v>LUNA-148</x:v>
      </x:c>
      <x:c r="D153" s="26" t="str">
        <x:v>LUNA</x:v>
      </x:c>
      <x:c r="E153" s="26" t="str">
        <x:v>SYS-01｜Runtime 健康：Acceptance / E2E 证据</x:v>
      </x:c>
      <x:c r="F153" s="26" t="n">
        <x:v>9</x:v>
      </x:c>
      <x:c r="G153" s="26" t="str">
        <x:v>golden pages / CTH-02</x:v>
      </x:c>
      <x:c r="H153" s="26" t="str">
        <x:v>PARTIAL</x:v>
      </x:c>
      <x:c r="I153" s="26" t="str">
        <x:v>源码执行/验证</x:v>
      </x:c>
      <x:c r="J153" s="26" t="str">
        <x:v>独立验证 SYS-01 的真实用户任务，从 App action 到 API/Permission/Canonical/Evidence/result/Return，不以“页面能渲染”作为完成。</x:v>
      </x:c>
      <x:c r="K153" s="26" t="str">
        <x:v>SYS-01 Spec acceptance IDs；Flutter tests；backend tests；runtime/E2E harness；真实/隔离数据按 tier 使用。</x:v>
      </x:c>
      <x:c r="L153" s="26" t="str">
        <x:v>只补测试、测试辅助与明确 bug fix；若发现实现问题回修本 screen owner。</x:v>
      </x:c>
      <x:c r="M153" s="26" t="str">
        <x:v>禁止降低 assertion；禁止 screenshot 自证；禁止把 excluded/quarantine 当 PASS；禁止 fixture 代替 live claim。</x:v>
      </x:c>
      <x:c r="N153" s="26" t="str">
        <x:v>Widget/API/integration 至少全绿；关键 responsive widths；blocked/error/retry/Trace/Return；需要 live 的标为 LIVE_VERIFIED 或明确未验证。</x:v>
      </x:c>
      <x:c r="O153" s="26" t="str">
        <x:v>cd app &amp;&amp; flutter analyze &amp;&amp; flutter test ; python -m pytest tests/test_experience_runtime.py tests/test_experience_e2e_candidate.py -q ; python scripts/audit_tools/verify_experience_authority_exclusi ve.py ; python scripts/audit_tools/verify_experience_anti_template.py --strict ; python scripts/audit_tools/verify_experience_screen_blueprints.py</x:v>
      </x:c>
    </x:row>
    <x:row r="154" ht="42" customHeight="1">
      <x:c r="A154" s="26" t="n">
        <x:v>160</x:v>
      </x:c>
      <x:c r="B154" s="26" t="n">
        <x:v>150</x:v>
      </x:c>
      <x:c r="C154" s="26" t="str">
        <x:v>SOL-149</x:v>
      </x:c>
      <x:c r="D154" s="26" t="str">
        <x:v>SOL</x:v>
      </x:c>
      <x:c r="E154" s="26" t="str">
        <x:v>SYS-02｜Collector 状态：Screen Spec 闭合</x:v>
      </x:c>
      <x:c r="F154" s="26" t="n">
        <x:v>14</x:v>
      </x:c>
      <x:c r="G154" s="26" t="str">
        <x:v>remaining ACC / AI / Shared / SYSTEM</x:v>
      </x:c>
      <x:c r="H154" s="26" t="str">
        <x:v>ABSENT</x:v>
      </x:c>
      <x:c r="I154" s="26" t="str">
        <x:v>产品判断/验收</x:v>
      </x:c>
      <x:c r="J154" s="26" t="str">
        <x:v>把 SYS-02 的用户问题、entry/return、PC/mobile composition、真实 fields/actions、state matrix、permission/evidence、acceptance 全部收敛成可施工 Spec。</x:v>
      </x:c>
      <x:c r="K154" s="26" t="str">
        <x:v>Experience Constitution §36 SYS-02 blueprint；contracts/experience/screens/SYS-02/；binding registry；BACKEND-GAP-037；当前 source owner/caller/tests。</x:v>
      </x:c>
      <x:c r="L154" s="26" t="str">
        <x:v>只更新/审核 contracts/experience/screen-specifications/&lt;ID&gt;.md 与必要 binding ledger；产品架构不变。</x:v>
      </x:c>
      <x:c r="M154" s="26" t="str">
        <x:v>禁止从 fixture 推断 production；UNKNOWN owner/API/permission/lineage 必须阻塞相应行为；禁止画成通用 dashboard。</x:v>
      </x:c>
      <x:c r="N154" s="26" t="str">
        <x:v>Spec 明确：platform lanes 展示 scheduler/rate-limit/retry/backoff/queue/ingestion stage。；主操作：看 run → retry/stop（若允许）→ trace collected record。；移动：platform queue cards + running/retry 状态。；所有字段/动作有 source 或明确 BLOCKED。</x:v>
      </x:c>
      <x:c r="O154" s="26" t="str">
        <x:v>python scripts/audit_tools/verify_experience_screen_blueprints.py；人工核对 Spec 10 sections 完整，产品 owner approval 记录清楚。</x:v>
      </x:c>
    </x:row>
    <x:row r="155" ht="42" customHeight="1">
      <x:c r="A155" s="26" t="n">
        <x:v>161</x:v>
      </x:c>
      <x:c r="B155" s="26" t="n">
        <x:v>151</x:v>
      </x:c>
      <x:c r="C155" s="26" t="str">
        <x:v>LUNA-150</x:v>
      </x:c>
      <x:c r="D155" s="26" t="str">
        <x:v>LUNA</x:v>
      </x:c>
      <x:c r="E155" s="26" t="str">
        <x:v>SYS-02｜Collector 状态：Backend / Binding 闭合</x:v>
      </x:c>
      <x:c r="F155" s="26" t="n">
        <x:v>14</x:v>
      </x:c>
      <x:c r="G155" s="26" t="str">
        <x:v>remaining ACC / AI / Shared / SYSTEM</x:v>
      </x:c>
      <x:c r="H155" s="26" t="str">
        <x:v>PARTIAL</x:v>
      </x:c>
      <x:c r="I155" s="26" t="str">
        <x:v>源码执行/验证</x:v>
      </x:c>
      <x:c r="J155" s="26" t="str">
        <x:v>仅关闭 SYS-02 依赖的真实后端 binding：复用 canonical owner，把 scope/Permission/Evidence/state 绑定完整；不做 UI。</x:v>
      </x:c>
      <x:c r="K155" s="26" t="str">
        <x:v>已批准 SYS-02 Screen Spec；BACKEND_GAP rows 037；当前 owner/caller/tests；binding registry。</x:v>
      </x:c>
      <x:c r="L155" s="26" t="str">
        <x:v>只改对应 canonical owner、最小 API/ViewModel adapter、contracts 与 targeted tests。</x:v>
      </x:c>
      <x:c r="M155" s="26" t="str">
        <x:v>禁止创建平行 DB/Evidence/Permission/Collector/AI owner；禁止 mock success；禁止 unscoped global data；禁止改 UI composition。</x:v>
      </x:c>
      <x:c r="N155" s="26" t="str">
        <x:v>复用 collector status owner；验证 health semantics 与 operator access。；成功/空/未采集/离线/拒绝/错误可区分；binding registry 有当前 source evidence；acceptance 仍需 UI/E2E。</x:v>
      </x:c>
      <x:c r="O155" s="26" t="str">
        <x:v>python -m pytest tests/test_experience_runtime.py tests/test_experience_e2e_candidate.py -q</x:v>
      </x:c>
    </x:row>
    <x:row r="156" ht="42" customHeight="1">
      <x:c r="A156" s="26" t="n">
        <x:v>162</x:v>
      </x:c>
      <x:c r="B156" s="26" t="n">
        <x:v>152</x:v>
      </x:c>
      <x:c r="C156" s="26" t="str">
        <x:v>LUNA-151</x:v>
      </x:c>
      <x:c r="D156" s="26" t="str">
        <x:v>LUNA</x:v>
      </x:c>
      <x:c r="E156" s="26" t="str">
        <x:v>SYS-02｜Collector 状态：App UI / UX 实现</x:v>
      </x:c>
      <x:c r="F156" s="26" t="n">
        <x:v>14</x:v>
      </x:c>
      <x:c r="G156" s="26" t="str">
        <x:v>remaining ACC / AI / Shared / SYSTEM</x:v>
      </x:c>
      <x:c r="H156" s="26" t="str">
        <x:v>ABSENT</x:v>
      </x:c>
      <x:c r="I156" s="26" t="str">
        <x:v>源码执行/验证</x:v>
      </x:c>
      <x:c r="J156" s="26" t="str">
        <x:v>在 backend contract 已可信后，实现 SYS-02 的 purpose-built Flutter Experience。用户只看到任务、内容、结果与操 作，系统内部 owner/tool/evidence contract 退到产品背后。</x:v>
      </x:c>
      <x:c r="K156" s="26" t="str">
        <x:v>已批准 SYS-02 Spec；typed ViewModel/API；Experience Constitution；shared primitives whitelist；本页草图。</x:v>
      </x:c>
      <x:c r="L156" s="26" t="str">
        <x:v>仅 app/lib/features/sys/**/sys02/** (或 Sol 审核后的同 owner feature slice) + matching app/test/**；必要时只复 用已批准 shared primitives。</x:v>
      </x:c>
      <x:c r="M156" s="26" t="str">
        <x:v>禁止 generic renderer / Bento / KPI wall / SaaS dashboard / 换标题复用；禁止改 backend truth；禁止假数据；禁止 PC 缩放成 mobile。</x:v>
      </x:c>
      <x:c r="N156" s="26" t="str">
        <x:v>PC 与 mobile 均表达：platform lanes 展示 scheduler/rate-limit/retry/backoff/queue/ingestion stage。；主交互完 成：看 run → retry/stop（若允许）→ trace collected record。；mobile 重组：platform queue cards + running/ret ry 状态。；状态/Trace/Return/keyboard/touch/semantics 完整。</x:v>
      </x:c>
      <x:c r="O156" s="26" t="str">
        <x:v>cd app &amp;&amp; flutter analyze &amp;&amp; flutter test ; python scripts/audit_tools/verify_experience_anti_template.py --st rict</x:v>
      </x:c>
    </x:row>
    <x:row r="157" ht="42" customHeight="1">
      <x:c r="A157" s="26" t="n">
        <x:v>163</x:v>
      </x:c>
      <x:c r="B157" s="26" t="n">
        <x:v>153</x:v>
      </x:c>
      <x:c r="C157" s="26" t="str">
        <x:v>LUNA-152</x:v>
      </x:c>
      <x:c r="D157" s="26" t="str">
        <x:v>LUNA</x:v>
      </x:c>
      <x:c r="E157" s="26" t="str">
        <x:v>SYS-02｜Collector 状态：Acceptance / E2E 证据</x:v>
      </x:c>
      <x:c r="F157" s="26" t="n">
        <x:v>14</x:v>
      </x:c>
      <x:c r="G157" s="26" t="str">
        <x:v>remaining ACC / AI / Shared / SYSTEM</x:v>
      </x:c>
      <x:c r="H157" s="26" t="str">
        <x:v>ABSENT</x:v>
      </x:c>
      <x:c r="I157" s="26" t="str">
        <x:v>源码执行/验证</x:v>
      </x:c>
      <x:c r="J157" s="26" t="str">
        <x:v>独立验证 SYS-02 的真实用户任务，从 App action 到 API/Permission/Canonical/Evidence/result/Return，不以“页面能渲染”作为完成。</x:v>
      </x:c>
      <x:c r="K157" s="26" t="str">
        <x:v>SYS-02 Spec acceptance IDs；Flutter tests；backend tests；runtime/E2E harness；真实/隔离数据按 tier 使用。</x:v>
      </x:c>
      <x:c r="L157" s="26" t="str">
        <x:v>只补测试、测试辅助与明确 bug fix；若发现实现问题回修本 screen owner。</x:v>
      </x:c>
      <x:c r="M157" s="26" t="str">
        <x:v>禁止降低 assertion；禁止 screenshot 自证；禁止把 excluded/quarantine 当 PASS；禁止 fixture 代替 live claim。</x:v>
      </x:c>
      <x:c r="N157" s="26" t="str">
        <x:v>Widget/API/integration 至少全绿；关键 responsive widths；blocked/error/retry/Trace/Return；需要 live 的标为 LIVE_VERIFIED 或明确未验证。</x:v>
      </x:c>
      <x:c r="O157" s="26" t="str">
        <x:v>cd app &amp;&amp; flutter analyze &amp;&amp; flutter test ; python -m pytest tests/test_experience_runtime.py tests/test_experience_e2e_candidate.py -q ; python scripts/audit_tools/verify_experience_authority_exclusi ve.py ; python scripts/audit_tools/verify_experience_anti_template.py --strict ; python scripts/audit_tools/verify_experience_screen_blueprints.py</x:v>
      </x:c>
    </x:row>
    <x:row r="158" ht="42" customHeight="1">
      <x:c r="A158" s="26" t="n">
        <x:v>164</x:v>
      </x:c>
      <x:c r="B158" s="26" t="n">
        <x:v>154</x:v>
      </x:c>
      <x:c r="C158" s="26" t="str">
        <x:v>SOL-153</x:v>
      </x:c>
      <x:c r="D158" s="26" t="str">
        <x:v>SOL</x:v>
      </x:c>
      <x:c r="E158" s="26" t="str">
        <x:v>SYS-03｜数据库与 Truth Chain：Screen Spec 闭合</x:v>
      </x:c>
      <x:c r="F158" s="26" t="n">
        <x:v>14</x:v>
      </x:c>
      <x:c r="G158" s="26" t="str">
        <x:v>remaining ACC / AI / Shared / SYSTEM</x:v>
      </x:c>
      <x:c r="H158" s="26" t="str">
        <x:v>ABSENT</x:v>
      </x:c>
      <x:c r="I158" s="26" t="str">
        <x:v>产品判断/验收</x:v>
      </x:c>
      <x:c r="J158" s="26" t="str">
        <x:v>把 SYS-03 的用户问题、entry/return、PC/mobile composition、真实 fields/actions、state matrix、permission/evidence、acceptance 全部收敛成可施工 Spec。</x:v>
      </x:c>
      <x:c r="K158" s="26" t="str">
        <x:v>Experience Constitution §36 SYS-03 blueprint；contracts/experience/screens/SYS-03/；binding registry；BACKEND-GAP-038；当前 source owner/caller/tests。</x:v>
      </x:c>
      <x:c r="L158" s="26" t="str">
        <x:v>只更新/审核 contracts/experience/screen-specifications/&lt;ID&gt;.md 与必要 binding ledger；产品架构不变。</x:v>
      </x:c>
      <x:c r="M158" s="26" t="str">
        <x:v>禁止从 fixture 推断 production；UNKNOWN owner/API/permission/lineage 必须阻塞相应行为；禁止画成通用 dashboard。</x:v>
      </x:c>
      <x:c r="N158" s="26" t="str">
        <x:v>Spec 明确：schema/version/integrity 分层连接 source → canonical → evidence → metric。；主操作：检查 table/chain validation → 精确 integrity error；recovery 独立授权。；移动：chain stages + integri ty summary + error detail。；所有字段/动作有 source 或明确 BLOCKED。</x:v>
      </x:c>
      <x:c r="O158" s="26" t="str">
        <x:v>python scripts/audit_tools/verify_experience_screen_blueprints.py；人工核对 Spec 10 sections 完整，产品 owner approval 记录清楚。</x:v>
      </x:c>
    </x:row>
    <x:row r="159" ht="42" customHeight="1">
      <x:c r="A159" s="26" t="n">
        <x:v>165</x:v>
      </x:c>
      <x:c r="B159" s="26" t="n">
        <x:v>155</x:v>
      </x:c>
      <x:c r="C159" s="26" t="str">
        <x:v>LUNA-154</x:v>
      </x:c>
      <x:c r="D159" s="26" t="str">
        <x:v>LUNA</x:v>
      </x:c>
      <x:c r="E159" s="26" t="str">
        <x:v>SYS-03｜数据库与 Truth Chain：Backend / Binding 闭合</x:v>
      </x:c>
      <x:c r="F159" s="26" t="n">
        <x:v>14</x:v>
      </x:c>
      <x:c r="G159" s="26" t="str">
        <x:v>remaining ACC / AI / Shared / SYSTEM</x:v>
      </x:c>
      <x:c r="H159" s="26" t="str">
        <x:v>PARTIAL</x:v>
      </x:c>
      <x:c r="I159" s="26" t="str">
        <x:v>源码执行/验证</x:v>
      </x:c>
      <x:c r="J159" s="26" t="str">
        <x:v>仅关闭 SYS-03 依赖的真实后端 binding：复用 canonical owner，把 scope/Permission/Evidence/state 绑定完整；不做 UI。</x:v>
      </x:c>
      <x:c r="K159" s="26" t="str">
        <x:v>已批准 SYS-03 Screen Spec；BACKEND_GAP rows 038；当前 owner/caller/tests；binding registry。</x:v>
      </x:c>
      <x:c r="L159" s="26" t="str">
        <x:v>只改对应 canonical owner、最小 API/ViewModel adapter、contracts 与 targeted tests。</x:v>
      </x:c>
      <x:c r="M159" s="26" t="str">
        <x:v>禁止创建平行 DB/Evidence/Permission/Collector/AI owner；禁止 mock success；禁止 unscoped global data；禁止改 UI composition。</x:v>
      </x:c>
      <x:c r="N159" s="26" t="str">
        <x:v>复用 canonical_data self_check/schema versions；加 SYSTEM reader auth，healthy/failed/unknown 分明。；成功/空/未采集/离线/拒绝/错误可区分；binding registry 有当前 source evidence；acceptance 仍需 UI/E 2E。</x:v>
      </x:c>
      <x:c r="O159" s="26" t="str">
        <x:v>python -m pytest tests/test_experience_runtime.py tests/test_experience_e2e_candidate.py -q</x:v>
      </x:c>
    </x:row>
    <x:row r="160" ht="42" customHeight="1">
      <x:c r="A160" s="26" t="n">
        <x:v>166</x:v>
      </x:c>
      <x:c r="B160" s="26" t="n">
        <x:v>156</x:v>
      </x:c>
      <x:c r="C160" s="26" t="str">
        <x:v>LUNA-155</x:v>
      </x:c>
      <x:c r="D160" s="26" t="str">
        <x:v>LUNA</x:v>
      </x:c>
      <x:c r="E160" s="26" t="str">
        <x:v>SYS-03｜数据库与 Truth Chain：App UI / UX 实现</x:v>
      </x:c>
      <x:c r="F160" s="26" t="n">
        <x:v>14</x:v>
      </x:c>
      <x:c r="G160" s="26" t="str">
        <x:v>remaining ACC / AI / Shared / SYSTEM</x:v>
      </x:c>
      <x:c r="H160" s="26" t="str">
        <x:v>ABSENT</x:v>
      </x:c>
      <x:c r="I160" s="26" t="str">
        <x:v>源码执行/验证</x:v>
      </x:c>
      <x:c r="J160" s="26" t="str">
        <x:v>在 backend contract 已可信后，实现 SYS-03 的 purpose-built Flutter Experience。用户只看到任务、内容、结果与操 作，系统内部 owner/tool/evidence contract 退到产品背后。</x:v>
      </x:c>
      <x:c r="K160" s="26" t="str">
        <x:v>已批准 SYS-03 Spec；typed ViewModel/API；Experience Constitution；shared primitives whitelist；本页草图。</x:v>
      </x:c>
      <x:c r="L160" s="26" t="str">
        <x:v>仅 app/lib/features/sys/**/sys03/** (或 Sol 审核后的同 owner feature slice) + matching app/test/**；必要时只复 用已批准 shared primitives。</x:v>
      </x:c>
      <x:c r="M160" s="26" t="str">
        <x:v>禁止 generic renderer / Bento / KPI wall / SaaS dashboard / 换标题复用；禁止改 backend truth；禁止假数据；禁止 PC 缩放成 mobile。</x:v>
      </x:c>
      <x:c r="N160" s="26" t="str">
        <x:v>PC 与 mobile 均表达：schema/version/integrity 分层连接 source → canonical → evidence → metric。；主交互完成 ：检查 table/chain validation → 精确 integrity error；recovery 独立授权。；mobile 重组：chain stages + integr ity summary + error detail。；状态/Trace/Return/keyboard/touch/semantics 完整。</x:v>
      </x:c>
      <x:c r="O160" s="26" t="str">
        <x:v>cd app &amp;&amp; flutter analyze &amp;&amp; flutter test ; python scripts/audit_tools/verify_experience_anti_template.py --st rict</x:v>
      </x:c>
    </x:row>
    <x:row r="161" ht="42" customHeight="1">
      <x:c r="A161" s="26" t="n">
        <x:v>167</x:v>
      </x:c>
      <x:c r="B161" s="26" t="n">
        <x:v>157</x:v>
      </x:c>
      <x:c r="C161" s="26" t="str">
        <x:v>LUNA-156</x:v>
      </x:c>
      <x:c r="D161" s="26" t="str">
        <x:v>LUNA</x:v>
      </x:c>
      <x:c r="E161" s="26" t="str">
        <x:v>SYS-03｜数据库与 Truth Chain：Acceptance / E2E 证据</x:v>
      </x:c>
      <x:c r="F161" s="26" t="n">
        <x:v>14</x:v>
      </x:c>
      <x:c r="G161" s="26" t="str">
        <x:v>remaining ACC / AI / Shared / SYSTEM</x:v>
      </x:c>
      <x:c r="H161" s="26" t="str">
        <x:v>ABSENT</x:v>
      </x:c>
      <x:c r="I161" s="26" t="str">
        <x:v>源码执行/验证</x:v>
      </x:c>
      <x:c r="J161" s="26" t="str">
        <x:v>独立验证 SYS-03 的真实用户任务，从 App action 到 API/Permission/Canonical/Evidence/result/Return，不以“页面能渲染”作为完成。</x:v>
      </x:c>
      <x:c r="K161" s="26" t="str">
        <x:v>SYS-03 Spec acceptance IDs；Flutter tests；backend tests；runtime/E2E harness；真实/隔离数据按 tier 使用。</x:v>
      </x:c>
      <x:c r="L161" s="26" t="str">
        <x:v>只补测试、测试辅助与明确 bug fix；若发现实现问题回修本 screen owner。</x:v>
      </x:c>
      <x:c r="M161" s="26" t="str">
        <x:v>禁止降低 assertion；禁止 screenshot 自证；禁止把 excluded/quarantine 当 PASS；禁止 fixture 代替 live claim。</x:v>
      </x:c>
      <x:c r="N161" s="26" t="str">
        <x:v>Widget/API/integration 至少全绿；关键 responsive widths；blocked/error/retry/Trace/Return；需要 live 的标为 LIVE_VERIFIED 或明确未验证。</x:v>
      </x:c>
      <x:c r="O161" s="26" t="str">
        <x:v>cd app &amp;&amp; flutter analyze &amp;&amp; flutter test ; python -m pytest tests/test_experience_runtime.py tests/test_experience_e2e_candidate.py -q ; python scripts/audit_tools/verify_experience_authority_exclusi ve.py ; python scripts/audit_tools/verify_experience_anti_template.py --strict ; python scripts/audit_tools/verify_experience_screen_blueprints.py</x:v>
      </x:c>
    </x:row>
    <x:row r="162" ht="42" customHeight="1">
      <x:c r="A162" s="26" t="n">
        <x:v>168</x:v>
      </x:c>
      <x:c r="B162" s="26" t="n">
        <x:v>158</x:v>
      </x:c>
      <x:c r="C162" s="26" t="str">
        <x:v>SOL-157</x:v>
      </x:c>
      <x:c r="D162" s="26" t="str">
        <x:v>SOL</x:v>
      </x:c>
      <x:c r="E162" s="26" t="str">
        <x:v>SYS-04｜安全与权限：Screen Spec 闭合</x:v>
      </x:c>
      <x:c r="F162" s="26" t="n">
        <x:v>14</x:v>
      </x:c>
      <x:c r="G162" s="26" t="str">
        <x:v>remaining ACC / AI / Shared / SYSTEM</x:v>
      </x:c>
      <x:c r="H162" s="26" t="str">
        <x:v>ABSENT</x:v>
      </x:c>
      <x:c r="I162" s="26" t="str">
        <x:v>产品判断/验收</x:v>
      </x:c>
      <x:c r="J162" s="26" t="str">
        <x:v>把 SYS-04 的用户问题、entry/return、PC/mobile composition、真实 fields/actions、state matrix、permission/evidence、acceptance 全部收敛成可施工 Spec。</x:v>
      </x:c>
      <x:c r="K162" s="26" t="str">
        <x:v>Experience Constitution §36 SYS-04 blueprint；contracts/experience/screens/SYS-04/；binding registry；BACKEND-GAP-039；当前 source owner/caller/tests。</x:v>
      </x:c>
      <x:c r="L162" s="26" t="str">
        <x:v>只更新/审核 contracts/experience/screen-specifications/&lt;ID&gt;.md 与必要 binding ledger；产品架构不变。</x:v>
      </x:c>
      <x:c r="M162" s="26" t="str">
        <x:v>禁止从 fixture 推断 production；UNKNOWN owner/API/permission/lineage 必须阻塞相应行为；禁止画成通用 dashboard。</x:v>
      </x:c>
      <x:c r="N162" s="26" t="str">
        <x:v>Spec 明确：actor × product/domain × operation/risk 的 Permission matrix + 独立 audit trail。；主操作：模拟/读取 access decision → reason；真正 approve 只走真实二因子/审批。；移动：role/scope list + decision detail。；所有字段/动作有 source 或明确 BLOCKED。</x:v>
      </x:c>
      <x:c r="O162" s="26" t="str">
        <x:v>python scripts/audit_tools/verify_experience_screen_blueprints.py；人工核对 Spec 10 sections 完整，产品 owner approval 记录清楚。</x:v>
      </x:c>
    </x:row>
    <x:row r="163" ht="42" customHeight="1">
      <x:c r="A163" s="26" t="n">
        <x:v>169</x:v>
      </x:c>
      <x:c r="B163" s="26" t="n">
        <x:v>159</x:v>
      </x:c>
      <x:c r="C163" s="26" t="str">
        <x:v>LUNA-158</x:v>
      </x:c>
      <x:c r="D163" s="26" t="str">
        <x:v>LUNA</x:v>
      </x:c>
      <x:c r="E163" s="26" t="str">
        <x:v>SYS-04｜安全与权限：Backend / Binding 闭合</x:v>
      </x:c>
      <x:c r="F163" s="26" t="n">
        <x:v>14</x:v>
      </x:c>
      <x:c r="G163" s="26" t="str">
        <x:v>remaining ACC / AI / Shared / SYSTEM</x:v>
      </x:c>
      <x:c r="H163" s="26" t="str">
        <x:v>PARTIAL</x:v>
      </x:c>
      <x:c r="I163" s="26" t="str">
        <x:v>源码执行/验证</x:v>
      </x:c>
      <x:c r="J163" s="26" t="str">
        <x:v>仅关闭 SYS-04 依赖的真实后端 binding：复用 canonical owner，把 scope/Permission/Evidence/state 绑定完整；不做 UI。</x:v>
      </x:c>
      <x:c r="K163" s="26" t="str">
        <x:v>已批准 SYS-04 Screen Spec；BACKEND_GAP rows 039；当前 owner/caller/tests；binding registry。</x:v>
      </x:c>
      <x:c r="L163" s="26" t="str">
        <x:v>只改对应 canonical owner、最小 API/ViewModel adapter、contracts 与 targeted tests。</x:v>
      </x:c>
      <x:c r="M163" s="26" t="str">
        <x:v>禁止创建平行 DB/Evidence/Permission/Collector/AI owner；禁止 mock success；禁止 unscoped global data；禁止改 UI composition。</x:v>
      </x:c>
      <x:c r="N163" s="26" t="str">
        <x:v>当前只是 enums，不是 Permission decision；绑定真实 permission callable。；成功/空/未采集/离线/拒绝/错误可区分；binding registry 有当前 source evidence；acceptance 仍需 UI/E2E。</x:v>
      </x:c>
      <x:c r="O163" s="26" t="str">
        <x:v>python -m pytest tests/test_experience_runtime.py tests/test_experience_e2e_candidate.py -q</x:v>
      </x:c>
    </x:row>
    <x:row r="164" ht="42" customHeight="1">
      <x:c r="A164" s="26" t="n">
        <x:v>170</x:v>
      </x:c>
      <x:c r="B164" s="26" t="n">
        <x:v>160</x:v>
      </x:c>
      <x:c r="C164" s="26" t="str">
        <x:v>LUNA-159</x:v>
      </x:c>
      <x:c r="D164" s="26" t="str">
        <x:v>LUNA</x:v>
      </x:c>
      <x:c r="E164" s="26" t="str">
        <x:v>SYS-04｜安全与权限：App UI / UX 实现</x:v>
      </x:c>
      <x:c r="F164" s="26" t="n">
        <x:v>14</x:v>
      </x:c>
      <x:c r="G164" s="26" t="str">
        <x:v>remaining ACC / AI / Shared / SYSTEM</x:v>
      </x:c>
      <x:c r="H164" s="26" t="str">
        <x:v>ABSENT</x:v>
      </x:c>
      <x:c r="I164" s="26" t="str">
        <x:v>源码执行/验证</x:v>
      </x:c>
      <x:c r="J164" s="26" t="str">
        <x:v>在 backend contract 已可信后，实现 SYS-04 的 purpose-built Flutter Experience。用户只看到任务、内容、结果与操 作，系统内部 owner/tool/evidence contract 退到产品背后。</x:v>
      </x:c>
      <x:c r="K164" s="26" t="str">
        <x:v>已批准 SYS-04 Spec；typed ViewModel/API；Experience Constitution；shared primitives whitelist；本页草图。</x:v>
      </x:c>
      <x:c r="L164" s="26" t="str">
        <x:v>仅 app/lib/features/sys/**/sys04/** (或 Sol 审核后的同 owner feature slice) + matching app/test/**；必要时只复 用已批准 shared primitives。</x:v>
      </x:c>
      <x:c r="M164" s="26" t="str">
        <x:v>禁止 generic renderer / Bento / KPI wall / SaaS dashboard / 换标题复用；禁止改 backend truth；禁止假数据；禁止 PC 缩放成 mobile。</x:v>
      </x:c>
      <x:c r="N164" s="26" t="str">
        <x:v>PC 与 mobile 均表达：actor × product/domain × operation/risk 的 Permission matrix + 独立 audit trail。；主交 互完成：模拟/读取 access decision → reason；真正 approve 只走真实二因子/审批。；mobile 重组：role/scope list + decision detail。；状态/Trace/Return/keyboard/touch/semantics 完整。</x:v>
      </x:c>
      <x:c r="O164" s="26" t="str">
        <x:v>cd app &amp;&amp; flutter analyze &amp;&amp; flutter test ; python scripts/audit_tools/verify_experience_anti_template.py --st rict</x:v>
      </x:c>
    </x:row>
    <x:row r="165" ht="42" customHeight="1">
      <x:c r="A165" s="26" t="n">
        <x:v>171</x:v>
      </x:c>
      <x:c r="B165" s="26" t="n">
        <x:v>161</x:v>
      </x:c>
      <x:c r="C165" s="26" t="str">
        <x:v>LUNA-160</x:v>
      </x:c>
      <x:c r="D165" s="26" t="str">
        <x:v>LUNA</x:v>
      </x:c>
      <x:c r="E165" s="26" t="str">
        <x:v>SYS-04｜安全与权限：Acceptance / E2E 证据</x:v>
      </x:c>
      <x:c r="F165" s="26" t="n">
        <x:v>14</x:v>
      </x:c>
      <x:c r="G165" s="26" t="str">
        <x:v>remaining ACC / AI / Shared / SYSTEM</x:v>
      </x:c>
      <x:c r="H165" s="26" t="str">
        <x:v>ABSENT</x:v>
      </x:c>
      <x:c r="I165" s="26" t="str">
        <x:v>源码执行/验证</x:v>
      </x:c>
      <x:c r="J165" s="26" t="str">
        <x:v>独立验证 SYS-04 的真实用户任务，从 App action 到 API/Permission/Canonical/Evidence/result/Return，不以“页面能渲染”作为完成。</x:v>
      </x:c>
      <x:c r="K165" s="26" t="str">
        <x:v>SYS-04 Spec acceptance IDs；Flutter tests；backend tests；runtime/E2E harness；真实/隔离数据按 tier 使用。</x:v>
      </x:c>
      <x:c r="L165" s="26" t="str">
        <x:v>只补测试、测试辅助与明确 bug fix；若发现实现问题回修本 screen owner。</x:v>
      </x:c>
      <x:c r="M165" s="26" t="str">
        <x:v>禁止降低 assertion；禁止 screenshot 自证；禁止把 excluded/quarantine 当 PASS；禁止 fixture 代替 live claim。</x:v>
      </x:c>
      <x:c r="N165" s="26" t="str">
        <x:v>Widget/API/integration 至少全绿；关键 responsive widths；blocked/error/retry/Trace/Return；需要 live 的标为 LIVE_VERIFIED 或明确未验证。</x:v>
      </x:c>
      <x:c r="O165" s="26" t="str">
        <x:v>cd app &amp;&amp; flutter analyze &amp;&amp; flutter test ; python -m pytest tests/test_experience_runtime.py tests/test_experience_e2e_candidate.py -q ; python scripts/audit_tools/verify_experience_authority_exclusi ve.py ; python scripts/audit_tools/verify_experience_anti_template.py --strict ; python scripts/audit_tools/verify_experience_screen_blueprints.py</x:v>
      </x:c>
    </x:row>
    <x:row r="166" ht="42" customHeight="1">
      <x:c r="A166" s="26" t="n">
        <x:v>172</x:v>
      </x:c>
      <x:c r="B166" s="26" t="n">
        <x:v>162</x:v>
      </x:c>
      <x:c r="C166" s="26" t="str">
        <x:v>SOL-161</x:v>
      </x:c>
      <x:c r="D166" s="26" t="str">
        <x:v>SOL</x:v>
      </x:c>
      <x:c r="E166" s="26" t="str">
        <x:v>SYS-05｜设置与外观：Screen Spec 闭合</x:v>
      </x:c>
      <x:c r="F166" s="26" t="n">
        <x:v>14</x:v>
      </x:c>
      <x:c r="G166" s="26" t="str">
        <x:v>remaining ACC / AI / Shared / SYSTEM</x:v>
      </x:c>
      <x:c r="H166" s="26" t="str">
        <x:v>ABSENT</x:v>
      </x:c>
      <x:c r="I166" s="26" t="str">
        <x:v>产品判断/验收</x:v>
      </x:c>
      <x:c r="J166" s="26" t="str">
        <x:v>把 SYS-05 的用户问题、entry/return、PC/mobile composition、真实 fields/actions、state matrix、permission/evidence、acceptance 全部收敛成可施工 Spec。</x:v>
      </x:c>
      <x:c r="K166" s="26" t="str">
        <x:v>Experience Constitution §36 SYS-05 blueprint；contracts/experience/screens/SYS-05/；binding registry；BACKEND-GAP-040；当前 source owner/caller/tests。</x:v>
      </x:c>
      <x:c r="L166" s="26" t="str">
        <x:v>只更新/审核 contracts/experience/screen-specifications/&lt;ID&gt;.md 与必要 binding ledger；产品架构不变。</x:v>
      </x:c>
      <x:c r="M166" s="26" t="str">
        <x:v>禁止从 fixture 推断 production；UNKNOWN owner/API/permission/lineage 必须阻塞相应行为；禁止画成通用 dashboard。</x:v>
      </x:c>
      <x:c r="N166" s="26" t="str">
        <x:v>Spec 明确：密度/对比度/语言/motion 的 preference studio，只影响 presentation，不改 business data。；主操作：改 preference → preview → save/reset → 明确 persisted scope。；移动：分组设置页 + 实时无 障碍 preview。；所有字段/动作有 source 或明确 BLOCKED。</x:v>
      </x:c>
      <x:c r="O166" s="26" t="str">
        <x:v>python scripts/audit_tools/verify_experience_screen_blueprints.py；人工核对 Spec 10 sections 完整，产品 owner approval 记录清楚。</x:v>
      </x:c>
    </x:row>
    <x:row r="167" ht="42" customHeight="1">
      <x:c r="A167" s="26" t="n">
        <x:v>173</x:v>
      </x:c>
      <x:c r="B167" s="26" t="n">
        <x:v>163</x:v>
      </x:c>
      <x:c r="C167" s="26" t="str">
        <x:v>LUNA-162</x:v>
      </x:c>
      <x:c r="D167" s="26" t="str">
        <x:v>LUNA</x:v>
      </x:c>
      <x:c r="E167" s="26" t="str">
        <x:v>SYS-05｜设置与外观：Backend / Binding 闭合</x:v>
      </x:c>
      <x:c r="F167" s="26" t="n">
        <x:v>14</x:v>
      </x:c>
      <x:c r="G167" s="26" t="str">
        <x:v>remaining ACC / AI / Shared / SYSTEM</x:v>
      </x:c>
      <x:c r="H167" s="26" t="str">
        <x:v>PARTIAL</x:v>
      </x:c>
      <x:c r="I167" s="26" t="str">
        <x:v>源码执行/验证</x:v>
      </x:c>
      <x:c r="J167" s="26" t="str">
        <x:v>仅关闭 SYS-05 依赖的真实后端 binding：复用 canonical owner，把 scope/Permission/Evidence/state 绑定完整；不做 UI。</x:v>
      </x:c>
      <x:c r="K167" s="26" t="str">
        <x:v>已批准 SYS-05 Screen Spec；BACKEND_GAP rows 040；当前 owner/caller/tests；binding registry。</x:v>
      </x:c>
      <x:c r="L167" s="26" t="str">
        <x:v>只改对应 canonical owner、最小 API/ViewModel adapter、contracts 与 targeted tests。</x:v>
      </x:c>
      <x:c r="M167" s="26" t="str">
        <x:v>禁止创建平行 DB/Evidence/Permission/Collector/AI owner；禁止 mock success；禁止 unscoped global data；禁止改 UI composition。</x:v>
      </x:c>
      <x:c r="N167" s="26" t="str">
        <x:v>当前仅 local preference；保持 local 或由 Sol 明确 adoption 后才引入 canonical settings persistence。；成功/空/未采集/离线/拒绝/错误可区分；binding registry 有当前 source evidence；acceptance 仍需 UI/E 2E。</x:v>
      </x:c>
      <x:c r="O167" s="26" t="str">
        <x:v>python -m pytest tests/test_experience_runtime.py tests/test_experience_e2e_candidate.py -q</x:v>
      </x:c>
    </x:row>
    <x:row r="168" ht="42" customHeight="1">
      <x:c r="A168" s="26" t="n">
        <x:v>174</x:v>
      </x:c>
      <x:c r="B168" s="26" t="n">
        <x:v>164</x:v>
      </x:c>
      <x:c r="C168" s="26" t="str">
        <x:v>LUNA-163</x:v>
      </x:c>
      <x:c r="D168" s="26" t="str">
        <x:v>LUNA</x:v>
      </x:c>
      <x:c r="E168" s="26" t="str">
        <x:v>SYS-05｜设置与外观：App UI / UX 实现</x:v>
      </x:c>
      <x:c r="F168" s="26" t="n">
        <x:v>14</x:v>
      </x:c>
      <x:c r="G168" s="26" t="str">
        <x:v>remaining ACC / AI / Shared / SYSTEM</x:v>
      </x:c>
      <x:c r="H168" s="26" t="str">
        <x:v>ABSENT</x:v>
      </x:c>
      <x:c r="I168" s="26" t="str">
        <x:v>源码执行/验证</x:v>
      </x:c>
      <x:c r="J168" s="26" t="str">
        <x:v>在 backend contract 已可信后，实现 SYS-05 的 purpose-built Flutter Experience。用户只看到任务、内容、结果与操 作，系统内部 owner/tool/evidence contract 退到产品背后。</x:v>
      </x:c>
      <x:c r="K168" s="26" t="str">
        <x:v>已批准 SYS-05 Spec；typed ViewModel/API；Experience Constitution；shared primitives whitelist；本页草图。</x:v>
      </x:c>
      <x:c r="L168" s="26" t="str">
        <x:v>仅 app/lib/features/sys/**/sys05/** (或 Sol 审核后的同 owner feature slice) + matching app/test/**；必要时只复 用已批准 shared primitives。</x:v>
      </x:c>
      <x:c r="M168" s="26" t="str">
        <x:v>禁止 generic renderer / Bento / KPI wall / SaaS dashboard / 换标题复用；禁止改 backend truth；禁止假数据；禁止 PC 缩放成 mobile。</x:v>
      </x:c>
      <x:c r="N168" s="26" t="str">
        <x:v>PC 与 mobile 均表达：密度/对比度/语言/motion 的 preference studio，只影响 presentation，不改 business data。； 主交互完成：改 preference → preview → save/reset → 明确 persisted scope。；mobile 重组：分组设置页 + 实时无 障碍 preview。；状态/Trace/Return/keyboard/touch/semantics 完整。</x:v>
      </x:c>
      <x:c r="O168" s="26" t="str">
        <x:v>cd app &amp;&amp; flutter analyze &amp;&amp; flutter test ; python scripts/audit_tools/verify_experience_anti_template.py --st rict</x:v>
      </x:c>
    </x:row>
    <x:row r="169" ht="42" customHeight="1">
      <x:c r="A169" s="26" t="n">
        <x:v>175</x:v>
      </x:c>
      <x:c r="B169" s="26" t="n">
        <x:v>165</x:v>
      </x:c>
      <x:c r="C169" s="26" t="str">
        <x:v>LUNA-164</x:v>
      </x:c>
      <x:c r="D169" s="26" t="str">
        <x:v>LUNA</x:v>
      </x:c>
      <x:c r="E169" s="26" t="str">
        <x:v>SYS-05｜设置与外观：Acceptance / E2E 证据</x:v>
      </x:c>
      <x:c r="F169" s="26" t="n">
        <x:v>14</x:v>
      </x:c>
      <x:c r="G169" s="26" t="str">
        <x:v>remaining ACC / AI / Shared / SYSTEM</x:v>
      </x:c>
      <x:c r="H169" s="26" t="str">
        <x:v>ABSENT</x:v>
      </x:c>
      <x:c r="I169" s="26" t="str">
        <x:v>源码执行/验证</x:v>
      </x:c>
      <x:c r="J169" s="26" t="str">
        <x:v>独立验证 SYS-05 的真实用户任务，从 App action 到 API/Permission/Canonical/Evidence/result/Return，不以“页面能渲染”作为完成。</x:v>
      </x:c>
      <x:c r="K169" s="26" t="str">
        <x:v>SYS-05 Spec acceptance IDs；Flutter tests；backend tests；runtime/E2E harness；真实/隔离数据按 tier 使用。</x:v>
      </x:c>
      <x:c r="L169" s="26" t="str">
        <x:v>只补测试、测试辅助与明确 bug fix；若发现实现问题回修本 screen owner。</x:v>
      </x:c>
      <x:c r="M169" s="26" t="str">
        <x:v>禁止降低 assertion；禁止 screenshot 自证；禁止把 excluded/quarantine 当 PASS；禁止 fixture 代替 live claim。</x:v>
      </x:c>
      <x:c r="N169" s="26" t="str">
        <x:v>Widget/API/integration 至少全绿；关键 responsive widths；blocked/error/retry/Trace/Return；需要 live 的标为 LIVE_VERIFIED 或明确未验证。</x:v>
      </x:c>
      <x:c r="O169" s="26" t="str">
        <x:v>cd app &amp;&amp; flutter analyze &amp;&amp; flutter test ; python -m pytest tests/test_experience_runtime.py tests/test_experience_e2e_candidate.py -q ; python scripts/audit_tools/verify_experience_authority_exclusi ve.py ; python scripts/audit_tools/verify_experience_anti_template.py --strict ; python scripts/audit_tools/verify_experience_screen_blueprints.py</x:v>
      </x:c>
    </x:row>
    <x:row r="170" ht="42" customHeight="1">
      <x:c r="A170" s="26" t="n">
        <x:v>176</x:v>
      </x:c>
      <x:c r="B170" s="26" t="n">
        <x:v>166</x:v>
      </x:c>
      <x:c r="C170" s="26" t="str">
        <x:v>SOL-165</x:v>
      </x:c>
      <x:c r="D170" s="26" t="str">
        <x:v>SOL</x:v>
      </x:c>
      <x:c r="E170" s="26" t="str">
        <x:v>SYS-06｜内部浏览器：Screen Spec 闭合</x:v>
      </x:c>
      <x:c r="F170" s="26" t="n">
        <x:v>14</x:v>
      </x:c>
      <x:c r="G170" s="26" t="str">
        <x:v>remaining ACC / AI / Shared / SYSTEM</x:v>
      </x:c>
      <x:c r="H170" s="26" t="str">
        <x:v>ABSENT</x:v>
      </x:c>
      <x:c r="I170" s="26" t="str">
        <x:v>产品判断/验收</x:v>
      </x:c>
      <x:c r="J170" s="26" t="str">
        <x:v>把 SYS-06 的用户问题、entry/return、PC/mobile composition、真实 fields/actions、state matrix、permission/evidence、acceptance 全部收敛成可施工 Spec。</x:v>
      </x:c>
      <x:c r="K170" s="26" t="str">
        <x:v>Experience Constitution §36 SYS-06 blueprint；contracts/experience/screens/SYS-06/；binding registry；BACKEND-GAP-041；当前 source owner/caller/tests。</x:v>
      </x:c>
      <x:c r="L170" s="26" t="str">
        <x:v>只更新/审核 contracts/experience/screen-specifications/&lt;ID&gt;.md 与必要 binding ledger；产品架构不变。</x:v>
      </x:c>
      <x:c r="M170" s="26" t="str">
        <x:v>禁止从 fixture 推断 production；UNKNOWN owner/API/permission/lineage 必须阻塞相应行为；禁止画成通用 dashboard。</x:v>
      </x:c>
      <x:c r="N170" s="26" t="str">
        <x:v>Spec 明确：受控 Evidence capture workspace：source page、capture metadata、audit action 三者分明。；主操作：navigate allowed target → pin snapshot as Evidence → inspect audit。；移动：source full-sc reen + metadata/trace panel。；所有字段/动作有 source 或明确 BLOCKED。</x:v>
      </x:c>
      <x:c r="O170" s="26" t="str">
        <x:v>python scripts/audit_tools/verify_experience_screen_blueprints.py；人工核对 Spec 10 sections 完整，产品 owner approval 记录清楚。</x:v>
      </x:c>
    </x:row>
    <x:row r="171" ht="42" customHeight="1">
      <x:c r="A171" s="26" t="n">
        <x:v>177</x:v>
      </x:c>
      <x:c r="B171" s="26" t="n">
        <x:v>167</x:v>
      </x:c>
      <x:c r="C171" s="26" t="str">
        <x:v>LUNA-166</x:v>
      </x:c>
      <x:c r="D171" s="26" t="str">
        <x:v>LUNA</x:v>
      </x:c>
      <x:c r="E171" s="26" t="str">
        <x:v>SYS-06｜内部浏览器：Backend / Binding 闭合</x:v>
      </x:c>
      <x:c r="F171" s="26" t="n">
        <x:v>14</x:v>
      </x:c>
      <x:c r="G171" s="26" t="str">
        <x:v>remaining ACC / AI / Shared / SYSTEM</x:v>
      </x:c>
      <x:c r="H171" s="26" t="str">
        <x:v>PARTIAL</x:v>
      </x:c>
      <x:c r="I171" s="26" t="str">
        <x:v>源码执行/验证</x:v>
      </x:c>
      <x:c r="J171" s="26" t="str">
        <x:v>仅关闭 SYS-06 依赖的真实后端 binding：复用 canonical owner，把 scope/Permission/Evidence/state 绑定完整；不做 UI。</x:v>
      </x:c>
      <x:c r="K171" s="26" t="str">
        <x:v>已批准 SYS-06 Screen Spec；BACKEND_GAP rows 041；当前 owner/caller/tests；binding registry。</x:v>
      </x:c>
      <x:c r="L171" s="26" t="str">
        <x:v>只改对应 canonical owner、最小 API/ViewModel adapter、contracts 与 targeted tests。</x:v>
      </x:c>
      <x:c r="M171" s="26" t="str">
        <x:v>禁止创建平行 DB/Evidence/Permission/Collector/AI owner；禁止 mock success；禁止 unscoped global data；禁止改 UI composition。</x:v>
      </x:c>
      <x:c r="N171" s="26" t="str">
        <x:v>复用 Browser Surface；actor/session/target 需安全授权，并保留 session provenance。；成功/空/未采集/离线/拒绝/错误可区分；binding registry 有当前 source evidence；acceptance 仍需 UI/E2E。</x:v>
      </x:c>
      <x:c r="O171" s="26" t="str">
        <x:v>python -m pytest tests/test_experience_runtime.py tests/test_experience_e2e_candidate.py -q</x:v>
      </x:c>
    </x:row>
    <x:row r="172" ht="42" customHeight="1">
      <x:c r="A172" s="26" t="n">
        <x:v>178</x:v>
      </x:c>
      <x:c r="B172" s="26" t="n">
        <x:v>168</x:v>
      </x:c>
      <x:c r="C172" s="26" t="str">
        <x:v>LUNA-167</x:v>
      </x:c>
      <x:c r="D172" s="26" t="str">
        <x:v>LUNA</x:v>
      </x:c>
      <x:c r="E172" s="26" t="str">
        <x:v>SYS-06｜内部浏览器：App UI / UX 实现</x:v>
      </x:c>
      <x:c r="F172" s="26" t="n">
        <x:v>14</x:v>
      </x:c>
      <x:c r="G172" s="26" t="str">
        <x:v>remaining ACC / AI / Shared / SYSTEM</x:v>
      </x:c>
      <x:c r="H172" s="26" t="str">
        <x:v>ABSENT</x:v>
      </x:c>
      <x:c r="I172" s="26" t="str">
        <x:v>源码执行/验证</x:v>
      </x:c>
      <x:c r="J172" s="26" t="str">
        <x:v>在 backend contract 已可信后，实现 SYS-06 的 purpose-built Flutter Experience。用户只看到任务、内容、结果与操 作，系统内部 owner/tool/evidence contract 退到产品背后。</x:v>
      </x:c>
      <x:c r="K172" s="26" t="str">
        <x:v>已批准 SYS-06 Spec；typed ViewModel/API；Experience Constitution；shared primitives whitelist；本页草图。</x:v>
      </x:c>
      <x:c r="L172" s="26" t="str">
        <x:v>仅 app/lib/features/sys/**/sys06/** (或 Sol 审核后的同 owner feature slice) + matching app/test/**；必要时只复 用已批准 shared primitives。</x:v>
      </x:c>
      <x:c r="M172" s="26" t="str">
        <x:v>禁止 generic renderer / Bento / KPI wall / SaaS dashboard / 换标题复用；禁止改 backend truth；禁止假数据；禁止 PC 缩放成 mobile。</x:v>
      </x:c>
      <x:c r="N172" s="26" t="str">
        <x:v>PC 与 mobile 均表达：受控 Evidence capture workspace：source page、capture metadata、audit action 三者分明。； 主交互完成：navigate allowed target → pin snapshot as Evidence → inspect audit。；mobile 重组：source full-s creen + metadata/trace panel。；状态/Trace/Return/keyboard/touch/semantics 完整。</x:v>
      </x:c>
      <x:c r="O172" s="26" t="str">
        <x:v>cd app &amp;&amp; flutter analyze &amp;&amp; flutter test ; python scripts/audit_tools/verify_experience_anti_template.py --st rict</x:v>
      </x:c>
    </x:row>
    <x:row r="173" ht="42" customHeight="1">
      <x:c r="A173" s="26" t="n">
        <x:v>179</x:v>
      </x:c>
      <x:c r="B173" s="26" t="n">
        <x:v>169</x:v>
      </x:c>
      <x:c r="C173" s="26" t="str">
        <x:v>LUNA-168</x:v>
      </x:c>
      <x:c r="D173" s="26" t="str">
        <x:v>LUNA</x:v>
      </x:c>
      <x:c r="E173" s="26" t="str">
        <x:v>SYS-06｜内部浏览器：Acceptance / E2E 证据</x:v>
      </x:c>
      <x:c r="F173" s="26" t="n">
        <x:v>14</x:v>
      </x:c>
      <x:c r="G173" s="26" t="str">
        <x:v>remaining ACC / AI / Shared / SYSTEM</x:v>
      </x:c>
      <x:c r="H173" s="26" t="str">
        <x:v>ABSENT</x:v>
      </x:c>
      <x:c r="I173" s="26" t="str">
        <x:v>源码执行/验证</x:v>
      </x:c>
      <x:c r="J173" s="26" t="str">
        <x:v>独立验证 SYS-06 的真实用户任务，从 App action 到 API/Permission/Canonical/Evidence/result/Return，不以“页面能渲染”作为完成。</x:v>
      </x:c>
      <x:c r="K173" s="26" t="str">
        <x:v>SYS-06 Spec acceptance IDs；Flutter tests；backend tests；runtime/E2E harness；真实/隔离数据按 tier 使用。</x:v>
      </x:c>
      <x:c r="L173" s="26" t="str">
        <x:v>只补测试、测试辅助与明确 bug fix；若发现实现问题回修本 screen owner。</x:v>
      </x:c>
      <x:c r="M173" s="26" t="str">
        <x:v>禁止降低 assertion；禁止 screenshot 自证；禁止把 excluded/quarantine 当 PASS；禁止 fixture 代替 live claim。</x:v>
      </x:c>
      <x:c r="N173" s="26" t="str">
        <x:v>Widget/API/integration 至少全绿；关键 responsive widths；blocked/error/retry/Trace/Return；需要 live 的标为 LIVE_VERIFIED 或明确未验证。</x:v>
      </x:c>
      <x:c r="O173" s="26" t="str">
        <x:v>cd app &amp;&amp; flutter analyze &amp;&amp; flutter test ; python -m pytest tests/test_experience_runtime.py tests/test_experience_e2e_candidate.py -q ; python scripts/audit_tools/verify_experience_authority_exclusi ve.py ; python scripts/audit_tools/verify_experience_anti_template.py --strict ; python scripts/audit_tools/verify_experience_screen_blueprints.py</x:v>
      </x:c>
    </x:row>
    <x:row r="174" ht="42" customHeight="1">
      <x:c r="A174" s="26" t="n">
        <x:v>180</x:v>
      </x:c>
      <x:c r="B174" s="26" t="n">
        <x:v>170</x:v>
      </x:c>
      <x:c r="C174" s="26" t="str">
        <x:v>SOL-169</x:v>
      </x:c>
      <x:c r="D174" s="26" t="str">
        <x:v>SOL</x:v>
      </x:c>
      <x:c r="E174" s="26" t="str">
        <x:v>SYS-07｜评估与验收：Screen Spec 闭合</x:v>
      </x:c>
      <x:c r="F174" s="26" t="n">
        <x:v>14</x:v>
      </x:c>
      <x:c r="G174" s="26" t="str">
        <x:v>remaining ACC / AI / Shared / SYSTEM</x:v>
      </x:c>
      <x:c r="H174" s="26" t="str">
        <x:v>ABSENT</x:v>
      </x:c>
      <x:c r="I174" s="26" t="str">
        <x:v>产品判断/验收</x:v>
      </x:c>
      <x:c r="J174" s="26" t="str">
        <x:v>把 SYS-07 的用户问题、entry/return、PC/mobile composition、真实 fields/actions、state matrix、permission/evidence、acceptance 全部收敛成可施工 Spec。</x:v>
      </x:c>
      <x:c r="K174" s="26" t="str">
        <x:v>Experience Constitution §36 SYS-07 blueprint；contracts/experience/screens/SYS-07/；binding registry；BACKEND-GAP-042；当前 source owner/caller/tests。</x:v>
      </x:c>
      <x:c r="L174" s="26" t="str">
        <x:v>只更新/审核 contracts/experience/screen-specifications/&lt;ID&gt;.md 与必要 binding ledger；产品架构不变。</x:v>
      </x:c>
      <x:c r="M174" s="26" t="str">
        <x:v>禁止从 fixture 推断 production；UNKNOWN owner/API/permission/lineage 必须阻塞相应行为；禁止画成通用 dashboard。</x:v>
      </x:c>
      <x:c r="N174" s="26" t="str">
        <x:v>Spec 明确：六道 acceptance gate 展示 owner/evidence/result/blocker；PARTIAL/UNKNOWN 明确未完成。；主操作：开 gate artifact → rerun permitted check → 看 exact criterion。；移动：sequential gate cards + blocker + artifact links。；所有字段/动作有 source 或明确 BLOCKED。</x:v>
      </x:c>
      <x:c r="O174" s="26" t="str">
        <x:v>python scripts/audit_tools/verify_experience_screen_blueprints.py；人工核对 Spec 10 sections 完整，产品 owner approval 记录清楚。</x:v>
      </x:c>
    </x:row>
    <x:row r="175" ht="42" customHeight="1">
      <x:c r="A175" s="26" t="n">
        <x:v>181</x:v>
      </x:c>
      <x:c r="B175" s="26" t="n">
        <x:v>171</x:v>
      </x:c>
      <x:c r="C175" s="26" t="str">
        <x:v>LUNA-170</x:v>
      </x:c>
      <x:c r="D175" s="26" t="str">
        <x:v>LUNA</x:v>
      </x:c>
      <x:c r="E175" s="26" t="str">
        <x:v>SYS-07｜评估与验收：Backend / Binding 闭合</x:v>
      </x:c>
      <x:c r="F175" s="26" t="n">
        <x:v>14</x:v>
      </x:c>
      <x:c r="G175" s="26" t="str">
        <x:v>remaining ACC / AI / Shared / SYSTEM</x:v>
      </x:c>
      <x:c r="H175" s="26" t="str">
        <x:v>PARTIAL</x:v>
      </x:c>
      <x:c r="I175" s="26" t="str">
        <x:v>源码执行/验证</x:v>
      </x:c>
      <x:c r="J175" s="26" t="str">
        <x:v>仅关闭 SYS-07 依赖的真实后端 binding：复用 canonical owner，把 scope/Permission/Evidence/state 绑定完整；不做 UI。</x:v>
      </x:c>
      <x:c r="K175" s="26" t="str">
        <x:v>已批准 SYS-07 Screen Spec；BACKEND_GAP rows 042；当前 owner/caller/tests；binding registry。</x:v>
      </x:c>
      <x:c r="L175" s="26" t="str">
        <x:v>只改对应 canonical owner、最小 API/ViewModel adapter、contracts 与 targeted tests。</x:v>
      </x:c>
      <x:c r="M175" s="26" t="str">
        <x:v>禁止创建平行 DB/Evidence/Permission/Collector/AI owner；禁止 mock success；禁止 unscoped global data；禁止改 UI composition。</x:v>
      </x:c>
      <x:c r="N175" s="26" t="str">
        <x:v>security posture 与 runtime health 分开；绑定 current checks + authorized operator。；成功/空/未采集/离线/拒绝/错误可区分；binding registry 有当前 source evidence；acceptance 仍需 UI/E2E。</x:v>
      </x:c>
      <x:c r="O175" s="26" t="str">
        <x:v>python -m pytest tests/test_experience_runtime.py tests/test_experience_e2e_candidate.py -q</x:v>
      </x:c>
    </x:row>
    <x:row r="176" ht="42" customHeight="1">
      <x:c r="A176" s="26" t="n">
        <x:v>182</x:v>
      </x:c>
      <x:c r="B176" s="26" t="n">
        <x:v>172</x:v>
      </x:c>
      <x:c r="C176" s="26" t="str">
        <x:v>LUNA-171</x:v>
      </x:c>
      <x:c r="D176" s="26" t="str">
        <x:v>LUNA</x:v>
      </x:c>
      <x:c r="E176" s="26" t="str">
        <x:v>SYS-07｜评估与验收：App UI / UX 实现</x:v>
      </x:c>
      <x:c r="F176" s="26" t="n">
        <x:v>14</x:v>
      </x:c>
      <x:c r="G176" s="26" t="str">
        <x:v>remaining ACC / AI / Shared / SYSTEM</x:v>
      </x:c>
      <x:c r="H176" s="26" t="str">
        <x:v>ABSENT</x:v>
      </x:c>
      <x:c r="I176" s="26" t="str">
        <x:v>源码执行/验证</x:v>
      </x:c>
      <x:c r="J176" s="26" t="str">
        <x:v>在 backend contract 已可信后，实现 SYS-07 的 purpose-built Flutter Experience。用户只看到任务、内容、结果与操 作，系统内部 owner/tool/evidence contract 退到产品背后。</x:v>
      </x:c>
      <x:c r="K176" s="26" t="str">
        <x:v>已批准 SYS-07 Spec；typed ViewModel/API；Experience Constitution；shared primitives whitelist；本页草图。</x:v>
      </x:c>
      <x:c r="L176" s="26" t="str">
        <x:v>仅 app/lib/features/sys/**/sys07/** (或 Sol 审核后的同 owner feature slice) + matching app/test/**；必要时只复 用已批准 shared primitives。</x:v>
      </x:c>
      <x:c r="M176" s="26" t="str">
        <x:v>禁止 generic renderer / Bento / KPI wall / SaaS dashboard / 换标题复用；禁止改 backend truth；禁止假数据；禁止 PC 缩放成 mobile。</x:v>
      </x:c>
      <x:c r="N176" s="26" t="str">
        <x:v>PC 与 mobile 均表达：六道 acceptance gate 展示 owner/evidence/result/blocker；PARTIAL/UNKNOWN 明确未完成。；主 交互完成：开 gate artifact → rerun permitted check → 看 exact criterion。；mobile 重组：sequential gate card s + blocker + artifact links。；状态/Trace/Return/keyboard/touch/semantics 完整。</x:v>
      </x:c>
      <x:c r="O176" s="26" t="str">
        <x:v>cd app &amp;&amp; flutter analyze &amp;&amp; flutter test ; python scripts/audit_tools/verify_experience_anti_template.py --st rict</x:v>
      </x:c>
    </x:row>
    <x:row r="177" ht="42" customHeight="1">
      <x:c r="A177" s="26" t="n">
        <x:v>183</x:v>
      </x:c>
      <x:c r="B177" s="26" t="n">
        <x:v>173</x:v>
      </x:c>
      <x:c r="C177" s="26" t="str">
        <x:v>LUNA-172</x:v>
      </x:c>
      <x:c r="D177" s="26" t="str">
        <x:v>LUNA</x:v>
      </x:c>
      <x:c r="E177" s="26" t="str">
        <x:v>SYS-07｜评估与验收：Acceptance / E2E 证据</x:v>
      </x:c>
      <x:c r="F177" s="26" t="n">
        <x:v>14</x:v>
      </x:c>
      <x:c r="G177" s="26" t="str">
        <x:v>remaining ACC / AI / Shared / SYSTEM</x:v>
      </x:c>
      <x:c r="H177" s="26" t="str">
        <x:v>ABSENT</x:v>
      </x:c>
      <x:c r="I177" s="26" t="str">
        <x:v>源码执行/验证</x:v>
      </x:c>
      <x:c r="J177" s="26" t="str">
        <x:v>独立验证 SYS-07 的真实用户任务，从 App action 到 API/Permission/Canonical/Evidence/result/Return，不以“页面能渲染”作为完成。</x:v>
      </x:c>
      <x:c r="K177" s="26" t="str">
        <x:v>SYS-07 Spec acceptance IDs；Flutter tests；backend tests；runtime/E2E harness；真实/隔离数据按 tier 使用。</x:v>
      </x:c>
      <x:c r="L177" s="26" t="str">
        <x:v>只补测试、测试辅助与明确 bug fix；若发现实现问题回修本 screen owner。</x:v>
      </x:c>
      <x:c r="M177" s="26" t="str">
        <x:v>禁止降低 assertion；禁止 screenshot 自证；禁止把 excluded/quarantine 当 PASS；禁止 fixture 代替 live claim。</x:v>
      </x:c>
      <x:c r="N177" s="26" t="str">
        <x:v>Widget/API/integration 至少全绿；关键 responsive widths；blocked/error/retry/Trace/Return；需要 live 的标为 LIVE_VERIFIED 或明确未验证。</x:v>
      </x:c>
      <x:c r="O177" s="26" t="str">
        <x:v>cd app &amp;&amp; flutter analyze &amp;&amp; flutter test ; python -m pytest tests/test_experience_runtime.py tests/test_experience_e2e_candidate.py -q ; python scripts/audit_tools/verify_experience_authority_exclusi ve.py ; python scripts/audit_tools/verify_experience_anti_template.py --strict ; python scripts/audit_tools/verify_experience_screen_blueprints.py</x:v>
      </x:c>
    </x:row>
    <x:row r="178" ht="42" customHeight="1">
      <x:c r="A178" s="26" t="n">
        <x:v>184</x:v>
      </x:c>
      <x:c r="B178" s="26" t="n">
        <x:v>174</x:v>
      </x:c>
      <x:c r="C178" s="26" t="str">
        <x:v>SOL-173</x:v>
      </x:c>
      <x:c r="D178" s="26" t="str">
        <x:v>SOL</x:v>
      </x:c>
      <x:c r="E178" s="26" t="str">
        <x:v>SYS-08｜可观测性与日志：Screen Spec 闭合</x:v>
      </x:c>
      <x:c r="F178" s="26" t="n">
        <x:v>14</x:v>
      </x:c>
      <x:c r="G178" s="26" t="str">
        <x:v>remaining ACC / AI / Shared / SYSTEM</x:v>
      </x:c>
      <x:c r="H178" s="26" t="str">
        <x:v>ABSENT</x:v>
      </x:c>
      <x:c r="I178" s="26" t="str">
        <x:v>产品判断/验收</x:v>
      </x:c>
      <x:c r="J178" s="26" t="str">
        <x:v>把 SYS-08 的用户问题、entry/return、PC/mobile composition、真实 fields/actions、state matrix、permission/evidence、acceptance 全部收敛成可施工 Spec。</x:v>
      </x:c>
      <x:c r="K178" s="26" t="str">
        <x:v>Experience Constitution §36 SYS-08 blueprint；contracts/experience/screens/SYS-08/；binding registry；BACKEND-GAP-043；当前 source owner/caller/tests。</x:v>
      </x:c>
      <x:c r="L178" s="26" t="str">
        <x:v>只更新/审核 contracts/experience/screen-specifications/&lt;ID&gt;.md 与必要 binding ledger；产品架构不变。</x:v>
      </x:c>
      <x:c r="M178" s="26" t="str">
        <x:v>禁止从 fixture 推断 production；UNKNOWN owner/API/permission/lineage 必须阻塞相应行为；禁止画成通用 dashboard。</x:v>
      </x:c>
      <x:c r="N178" s="26" t="str">
        <x:v>Spec 明确：trace waterfall 关联 request/span/structured error；prototype events 独立 lane。；主操作：按 trace/time/component filter → 相关 logs → Return originating runtime/task。；移动：trace summa ry + spans/errors。；所有字段/动作有 source 或明确 BLOCKED。</x:v>
      </x:c>
      <x:c r="O178" s="26" t="str">
        <x:v>python scripts/audit_tools/verify_experience_screen_blueprints.py；人工核对 Spec 10 sections 完整，产品 owner approval 记录清楚。</x:v>
      </x:c>
    </x:row>
    <x:row r="179" ht="42" customHeight="1">
      <x:c r="A179" s="26" t="n">
        <x:v>185</x:v>
      </x:c>
      <x:c r="B179" s="26" t="n">
        <x:v>175</x:v>
      </x:c>
      <x:c r="C179" s="26" t="str">
        <x:v>LUNA-174</x:v>
      </x:c>
      <x:c r="D179" s="26" t="str">
        <x:v>LUNA</x:v>
      </x:c>
      <x:c r="E179" s="26" t="str">
        <x:v>SYS-08｜可观测性与日志：Backend / Binding 闭合</x:v>
      </x:c>
      <x:c r="F179" s="26" t="n">
        <x:v>14</x:v>
      </x:c>
      <x:c r="G179" s="26" t="str">
        <x:v>remaining ACC / AI / Shared / SYSTEM</x:v>
      </x:c>
      <x:c r="H179" s="26" t="str">
        <x:v>PARTIAL</x:v>
      </x:c>
      <x:c r="I179" s="26" t="str">
        <x:v>源码执行/验证</x:v>
      </x:c>
      <x:c r="J179" s="26" t="str">
        <x:v>仅关闭 SYS-08 依赖的真实后端 binding：复用 canonical owner，把 scope/Permission/Evidence/state 绑定完整；不做 UI。</x:v>
      </x:c>
      <x:c r="K179" s="26" t="str">
        <x:v>已批准 SYS-08 Screen Spec；BACKEND_GAP rows 043；当前 owner/caller/tests；binding registry。</x:v>
      </x:c>
      <x:c r="L179" s="26" t="str">
        <x:v>只改对应 canonical owner、最小 API/ViewModel adapter、contracts 与 targeted tests。</x:v>
      </x:c>
      <x:c r="M179" s="26" t="str">
        <x:v>禁止创建平行 DB/Evidence/Permission/Collector/AI owner；禁止 mock success；禁止 unscoped global data；禁止改 UI composition。</x:v>
      </x:c>
      <x:c r="N179" s="26" t="str">
        <x:v>保留 sanitized logs；加 SYSTEM auth 与 provenance。；成功/空/未采集/离线/拒绝/错误可区分；binding registry 有当前 source evidence；acceptance 仍需 UI/E2E。</x:v>
      </x:c>
      <x:c r="O179" s="26" t="str">
        <x:v>python -m pytest tests/test_experience_runtime.py tests/test_experience_e2e_candidate.py -q</x:v>
      </x:c>
    </x:row>
    <x:row r="180" ht="42" customHeight="1">
      <x:c r="A180" s="26" t="n">
        <x:v>186</x:v>
      </x:c>
      <x:c r="B180" s="26" t="n">
        <x:v>176</x:v>
      </x:c>
      <x:c r="C180" s="26" t="str">
        <x:v>LUNA-175</x:v>
      </x:c>
      <x:c r="D180" s="26" t="str">
        <x:v>LUNA</x:v>
      </x:c>
      <x:c r="E180" s="26" t="str">
        <x:v>SYS-08｜可观测性与日志：App UI / UX 实现</x:v>
      </x:c>
      <x:c r="F180" s="26" t="n">
        <x:v>14</x:v>
      </x:c>
      <x:c r="G180" s="26" t="str">
        <x:v>remaining ACC / AI / Shared / SYSTEM</x:v>
      </x:c>
      <x:c r="H180" s="26" t="str">
        <x:v>ABSENT</x:v>
      </x:c>
      <x:c r="I180" s="26" t="str">
        <x:v>源码执行/验证</x:v>
      </x:c>
      <x:c r="J180" s="26" t="str">
        <x:v>在 backend contract 已可信后，实现 SYS-08 的 purpose-built Flutter Experience。用户只看到任务、内容、结果与操 作，系统内部 owner/tool/evidence contract 退到产品背后。</x:v>
      </x:c>
      <x:c r="K180" s="26" t="str">
        <x:v>已批准 SYS-08 Spec；typed ViewModel/API；Experience Constitution；shared primitives whitelist；本页草图。</x:v>
      </x:c>
      <x:c r="L180" s="26" t="str">
        <x:v>仅 app/lib/features/sys/**/sys08/** (或 Sol 审核后的同 owner feature slice) + matching app/test/**；必要时只复 用已批准 shared primitives。</x:v>
      </x:c>
      <x:c r="M180" s="26" t="str">
        <x:v>禁止 generic renderer / Bento / KPI wall / SaaS dashboard / 换标题复用；禁止改 backend truth；禁止假数据；禁止 PC 缩放成 mobile。</x:v>
      </x:c>
      <x:c r="N180" s="26" t="str">
        <x:v>PC 与 mobile 均表达：trace waterfall 关联 request/span/structured error；prototype events 独立 lane。；主交互 完成：按 trace/time/component filter → 相关 logs → Return originating runtime/task。；mobile 重组：trace sum mary + spans/errors。；状态/Trace/Return/keyboard/touch/semantics 完整。</x:v>
      </x:c>
      <x:c r="O180" s="26" t="str">
        <x:v>cd app &amp;&amp; flutter analyze &amp;&amp; flutter test ; python scripts/audit_tools/verify_experience_anti_template.py --st rict</x:v>
      </x:c>
    </x:row>
    <x:row r="181" ht="42" customHeight="1">
      <x:c r="A181" s="26" t="n">
        <x:v>187</x:v>
      </x:c>
      <x:c r="B181" s="26" t="n">
        <x:v>177</x:v>
      </x:c>
      <x:c r="C181" s="26" t="str">
        <x:v>LUNA-176</x:v>
      </x:c>
      <x:c r="D181" s="26" t="str">
        <x:v>LUNA</x:v>
      </x:c>
      <x:c r="E181" s="26" t="str">
        <x:v>SYS-08｜可观测性与日志：Acceptance / E2E 证据</x:v>
      </x:c>
      <x:c r="F181" s="26" t="n">
        <x:v>14</x:v>
      </x:c>
      <x:c r="G181" s="26" t="str">
        <x:v>remaining ACC / AI / Shared / SYSTEM</x:v>
      </x:c>
      <x:c r="H181" s="26" t="str">
        <x:v>ABSENT</x:v>
      </x:c>
      <x:c r="I181" s="26" t="str">
        <x:v>源码执行/验证</x:v>
      </x:c>
      <x:c r="J181" s="26" t="str">
        <x:v>独立验证 SYS-08 的真实用户任务，从 App action 到 API/Permission/Canonical/Evidence/result/Return，不以“页面能渲染”作为完成。</x:v>
      </x:c>
      <x:c r="K181" s="26" t="str">
        <x:v>SYS-08 Spec acceptance IDs；Flutter tests；backend tests；runtime/E2E harness；真实/隔离数据按 tier 使用。</x:v>
      </x:c>
      <x:c r="L181" s="26" t="str">
        <x:v>只补测试、测试辅助与明确 bug fix；若发现实现问题回修本 screen owner。</x:v>
      </x:c>
      <x:c r="M181" s="26" t="str">
        <x:v>禁止降低 assertion；禁止 screenshot 自证；禁止把 excluded/quarantine 当 PASS；禁止 fixture 代替 live claim。</x:v>
      </x:c>
      <x:c r="N181" s="26" t="str">
        <x:v>Widget/API/integration 至少全绿；关键 responsive widths；blocked/error/retry/Trace/Return；需要 live 的标为 LIVE_VERIFIED 或明确未验证。</x:v>
      </x:c>
      <x:c r="O181" s="26" t="str">
        <x:v>cd app &amp;&amp; flutter analyze &amp;&amp; flutter test ; python -m pytest tests/test_experience_runtime.py tests/test_experience_e2e_candidate.py -q ; python scripts/audit_tools/verify_experience_authority_exclusi ve.py ; python scripts/audit_tools/verify_experience_anti_template.py --strict ; python scripts/audit_tools/verify_experience_screen_blueprints.py</x:v>
      </x:c>
    </x:row>
    <x:row r="182" ht="42" customHeight="1">
      <x:c r="A182" s="26" t="n">
        <x:v>188</x:v>
      </x:c>
      <x:c r="B182" s="26" t="n">
        <x:v>178</x:v>
      </x:c>
      <x:c r="C182" s="26" t="str">
        <x:v>SOL-177</x:v>
      </x:c>
      <x:c r="D182" s="26" t="str">
        <x:v>SOL</x:v>
      </x:c>
      <x:c r="E182" s="26" t="str">
        <x:v>SH-01｜内容创作工作室：Screen Spec 闭合</x:v>
      </x:c>
      <x:c r="F182" s="26" t="n">
        <x:v>9</x:v>
      </x:c>
      <x:c r="G182" s="26" t="str">
        <x:v>golden pages / CTH-02</x:v>
      </x:c>
      <x:c r="H182" s="26" t="str">
        <x:v>PARTIAL</x:v>
      </x:c>
      <x:c r="I182" s="26" t="str">
        <x:v>产品判断/验收</x:v>
      </x:c>
      <x:c r="J182" s="26" t="str">
        <x:v>把 SH-01 的用户问题、entry/return、PC/mobile composition、真实 fields/actions、state matrix、permission/evidence、acceptance 全部收敛成可施工 Spec。</x:v>
      </x:c>
      <x:c r="K182" s="26" t="str">
        <x:v>Experience Constitution §36 SH-01 blueprint；contracts/experience/screens/SH-01/；binding registry；BACKEND-GAP-044,045,046,047,048,049；当前 source owner/caller/tests。</x:v>
      </x:c>
      <x:c r="L182" s="26" t="str">
        <x:v>只更新/审核 contracts/experience/screen-specifications/&lt;ID&gt;.md 与必要 binding ledger；产品架构不变。</x:v>
      </x:c>
      <x:c r="M182" s="26" t="str">
        <x:v>禁止从 fixture 推断 production；UNKNOWN owner/API/permission/lineage 必须阻塞相应行为；禁止画成通用 dashboard。</x:v>
      </x:c>
      <x:c r="N182" s="26" t="str">
        <x:v>Spec 明确：Source/Brief/Evidence → editable artifact → version/outcome；Artifact 是中心。；主操作：真实 brief 起草 → cite Evidence → review → human approval handoff。；移动：focused editor + sour ce drawer + version/action sheet。；所有字段/动作有 source 或明确 BLOCKED。</x:v>
      </x:c>
      <x:c r="O182" s="26" t="str">
        <x:v>python scripts/audit_tools/verify_experience_screen_blueprints.py；人工核对 Spec 10 sections 完整，产品 owner approval 记录清楚。</x:v>
      </x:c>
    </x:row>
    <x:row r="183" ht="42" customHeight="1">
      <x:c r="A183" s="26" t="n">
        <x:v>189</x:v>
      </x:c>
      <x:c r="B183" s="26" t="n">
        <x:v>179</x:v>
      </x:c>
      <x:c r="C183" s="26" t="str">
        <x:v>LUNA-178</x:v>
      </x:c>
      <x:c r="D183" s="26" t="str">
        <x:v>LUNA</x:v>
      </x:c>
      <x:c r="E183" s="26" t="str">
        <x:v>SH-01｜内容创作工作室：Backend / Binding 闭合</x:v>
      </x:c>
      <x:c r="F183" s="26" t="n">
        <x:v>9</x:v>
      </x:c>
      <x:c r="G183" s="26" t="str">
        <x:v>golden pages / CTH-02</x:v>
      </x:c>
      <x:c r="H183" s="26" t="str">
        <x:v>PARTIAL</x:v>
      </x:c>
      <x:c r="I183" s="26" t="str">
        <x:v>源码执行/验证</x:v>
      </x:c>
      <x:c r="J183" s="26" t="str">
        <x:v>仅关闭 SH-01 依赖的真实后端 binding：复用 canonical owner，把 scope/Permission/Evidence/state 绑定完整；不做 UI。</x:v>
      </x:c>
      <x:c r="K183" s="26" t="str">
        <x:v>已批准 SH-01 Screen Spec；BACKEND_GAP rows 044/045/046/047/048/049；当前 owner/caller/tests；binding registry。</x:v>
      </x:c>
      <x:c r="L183" s="26" t="str">
        <x:v>只改对应 canonical owner、最小 API/ViewModel adapter、contracts 与 targeted tests。</x:v>
      </x:c>
      <x:c r="M183" s="26" t="str">
        <x:v>禁止创建平行 DB/Evidence/Permission/Collector/AI owner；禁止 mock success；禁止 unscoped global data；禁止改 UI composition。</x:v>
      </x:c>
      <x:c r="N183" s="26" t="str">
        <x:v>当前只安全实现 capability catalog；Studio/Pattern/Fact Wall/thread 缺口与 publish effect 需逐 owner 关闭。；成功/空/未采集/离线/拒绝/错误可区分；binding registry 有当前 source evidence；acceptance 仍 需 UI/E2E。</x:v>
      </x:c>
      <x:c r="O183" s="26" t="str">
        <x:v>python -m pytest tests/test_experience_runtime.py tests/test_experience_e2e_candidate.py -q tests/test_evidence_chain.py -q</x:v>
      </x:c>
    </x:row>
    <x:row r="184" ht="42" customHeight="1">
      <x:c r="A184" s="26" t="n">
        <x:v>190</x:v>
      </x:c>
      <x:c r="B184" s="26" t="n">
        <x:v>180</x:v>
      </x:c>
      <x:c r="C184" s="26" t="str">
        <x:v>LUNA-179</x:v>
      </x:c>
      <x:c r="D184" s="26" t="str">
        <x:v>LUNA</x:v>
      </x:c>
      <x:c r="E184" s="26" t="str">
        <x:v>SH-01｜内容创作工作室：App UI / UX 实现</x:v>
      </x:c>
      <x:c r="F184" s="26" t="n">
        <x:v>9</x:v>
      </x:c>
      <x:c r="G184" s="26" t="str">
        <x:v>golden pages / CTH-02</x:v>
      </x:c>
      <x:c r="H184" s="26" t="str">
        <x:v>PARTIAL</x:v>
      </x:c>
      <x:c r="I184" s="26" t="str">
        <x:v>源码执行/验证</x:v>
      </x:c>
      <x:c r="J184" s="26" t="str">
        <x:v>在 backend contract 已可信后，实现 SH-01 的 purpose-built Flutter Experience。用户只看到任务、内容、结果与操作 ，系统内部 owner/tool/evidence contract 退到产品背后。</x:v>
      </x:c>
      <x:c r="K184" s="26" t="str">
        <x:v>已批准 SH-01 Spec；typed ViewModel/API；Experience Constitution；shared primitives whitelist；本页草图。</x:v>
      </x:c>
      <x:c r="L184" s="26" t="str">
        <x:v>仅 app/lib/features/shared/sh01/** + app/test/features/shared/sh01/**；必要时只复用已批准 shared primitives。</x:v>
      </x:c>
      <x:c r="M184" s="26" t="str">
        <x:v>禁止 generic renderer / Bento / KPI wall / SaaS dashboard / 换标题复用；禁止改 backend truth；禁止假数据；禁止 PC 缩放成 mobile。</x:v>
      </x:c>
      <x:c r="N184" s="26" t="str">
        <x:v>PC 与 mobile 均表达：Source/Brief/Evidence → editable artifact → version/outcome；Artifact 是中心。；主交互 完成：真实 brief 起草 → cite Evidence → review → human approval handoff。；mobile 重组：focused editor + so urce drawer + version/action sheet。；状态/Trace/Return/keyboard/touch/semantics 完整。</x:v>
      </x:c>
      <x:c r="O184" s="26" t="str">
        <x:v>cd app &amp;&amp; flutter analyze &amp;&amp; flutter test ; python scripts/audit_tools/verify_experience_anti_template.py --st rict</x:v>
      </x:c>
    </x:row>
    <x:row r="185" ht="42" customHeight="1">
      <x:c r="A185" s="26" t="n">
        <x:v>191</x:v>
      </x:c>
      <x:c r="B185" s="26" t="n">
        <x:v>181</x:v>
      </x:c>
      <x:c r="C185" s="26" t="str">
        <x:v>LUNA-180</x:v>
      </x:c>
      <x:c r="D185" s="26" t="str">
        <x:v>LUNA</x:v>
      </x:c>
      <x:c r="E185" s="26" t="str">
        <x:v>SH-01｜内容创作工作室：Acceptance / E2E 证据</x:v>
      </x:c>
      <x:c r="F185" s="26" t="n">
        <x:v>9</x:v>
      </x:c>
      <x:c r="G185" s="26" t="str">
        <x:v>golden pages / CTH-02</x:v>
      </x:c>
      <x:c r="H185" s="26" t="str">
        <x:v>PARTIAL</x:v>
      </x:c>
      <x:c r="I185" s="26" t="str">
        <x:v>源码执行/验证</x:v>
      </x:c>
      <x:c r="J185" s="26" t="str">
        <x:v>独立验证 SH-01 的真实用户任务，从 App action 到 API/Permission/Canonical/Evidence/result/Return，不以“页面能渲染”作为完成。</x:v>
      </x:c>
      <x:c r="K185" s="26" t="str">
        <x:v>SH-01 Spec acceptance IDs；Flutter tests；backend tests；runtime/E2E harness；真实/隔离数据按 tier 使用。</x:v>
      </x:c>
      <x:c r="L185" s="26" t="str">
        <x:v>只补测试、测试辅助与明确 bug fix；若发现实现问题回修本 screen owner。</x:v>
      </x:c>
      <x:c r="M185" s="26" t="str">
        <x:v>禁止降低 assertion；禁止 screenshot 自证；禁止把 excluded/quarantine 当 PASS；禁止 fixture 代替 live claim。</x:v>
      </x:c>
      <x:c r="N185" s="26" t="str">
        <x:v>Widget/API/integration 至少全绿；关键 responsive widths；blocked/error/retry/Trace/Return；需要 live 的标为 LIVE_VERIFIED 或明确未验证。</x:v>
      </x:c>
      <x:c r="O185" s="26" t="str">
        <x:v>cd app &amp;&amp; flutter analyze &amp;&amp; flutter test ; python -m pytest tests/test_experience_runtime.py tests/test_experience_e2e_candidate.py -q tests/test_evidence_chain.py -q ; python scripts/audit_tools/ver ify_experience_authority_exclusive.py ; python scripts/audit_tools/verify_experience_anti_template.py --strict ; python scripts/audit_tools/verify_experience_screen_blueprints.py</x:v>
      </x:c>
    </x:row>
    <x:row r="186" ht="42" customHeight="1">
      <x:c r="A186" s="26" t="n">
        <x:v>192</x:v>
      </x:c>
      <x:c r="B186" s="26" t="n">
        <x:v>182</x:v>
      </x:c>
      <x:c r="C186" s="26" t="str">
        <x:v>SOL-181</x:v>
      </x:c>
      <x:c r="D186" s="26" t="str">
        <x:v>SOL</x:v>
      </x:c>
      <x:c r="E186" s="26" t="str">
        <x:v>SH-02｜Evidence Library：Screen Spec 闭合</x:v>
      </x:c>
      <x:c r="F186" s="26" t="n">
        <x:v>14</x:v>
      </x:c>
      <x:c r="G186" s="26" t="str">
        <x:v>remaining ACC / AI / Shared / SYSTEM</x:v>
      </x:c>
      <x:c r="H186" s="26" t="str">
        <x:v>ABSENT</x:v>
      </x:c>
      <x:c r="I186" s="26" t="str">
        <x:v>产品判断/验收</x:v>
      </x:c>
      <x:c r="J186" s="26" t="str">
        <x:v>把 SH-02 的用户问题、entry/return、PC/mobile composition、真实 fields/actions、state matrix、permission/evidence、acceptance 全部收敛成可施工 Spec。</x:v>
      </x:c>
      <x:c r="K186" s="26" t="str">
        <x:v>Experience Constitution §36 SH-02 blueprint；contracts/experience/screens/SH-02/；binding registry；BACKEND-GAP-050；当前 source owner/caller/tests。</x:v>
      </x:c>
      <x:c r="L186" s="26" t="str">
        <x:v>只更新/审核 contracts/experience/screen-specifications/&lt;ID&gt;.md 与必要 binding ledger；产品架构不变。</x:v>
      </x:c>
      <x:c r="M186" s="26" t="str">
        <x:v>禁止从 fixture 推断 production；UNKNOWN owner/API/permission/lineage 必须阻塞相应行为；禁止画成通用 dashboard。</x:v>
      </x:c>
      <x:c r="N186" s="26" t="str">
        <x:v>Spec 明确：搜索优先 Evidence atlas，按 source/time/domain/lineage；snapshot 与 citation 相邻。；主操作：search/filter → 对照 source/extract → 看 freshness → 回 owning CTH/BMP。；移动：Evidence card s + full-screen source trace。；所有字段/动作有 source 或明确 BLOCKED。</x:v>
      </x:c>
      <x:c r="O186" s="26" t="str">
        <x:v>python scripts/audit_tools/verify_experience_screen_blueprints.py；人工核对 Spec 10 sections 完整，产品 owner approval 记录清楚。</x:v>
      </x:c>
    </x:row>
    <x:row r="187" ht="42" customHeight="1">
      <x:c r="A187" s="26" t="n">
        <x:v>193</x:v>
      </x:c>
      <x:c r="B187" s="26" t="n">
        <x:v>183</x:v>
      </x:c>
      <x:c r="C187" s="26" t="str">
        <x:v>LUNA-182</x:v>
      </x:c>
      <x:c r="D187" s="26" t="str">
        <x:v>LUNA</x:v>
      </x:c>
      <x:c r="E187" s="26" t="str">
        <x:v>SH-02｜Evidence Library：Backend / Binding 闭合</x:v>
      </x:c>
      <x:c r="F187" s="26" t="n">
        <x:v>14</x:v>
      </x:c>
      <x:c r="G187" s="26" t="str">
        <x:v>remaining ACC / AI / Shared / SYSTEM</x:v>
      </x:c>
      <x:c r="H187" s="26" t="str">
        <x:v>PARTIAL</x:v>
      </x:c>
      <x:c r="I187" s="26" t="str">
        <x:v>源码执行/验证</x:v>
      </x:c>
      <x:c r="J187" s="26" t="str">
        <x:v>仅关闭 SH-02 依赖的真实后端 binding：复用 canonical owner，把 scope/Permission/Evidence/state 绑定完整；不做 UI。</x:v>
      </x:c>
      <x:c r="K187" s="26" t="str">
        <x:v>已批准 SH-02 Screen Spec；BACKEND_GAP rows 050；当前 owner/caller/tests；binding registry。</x:v>
      </x:c>
      <x:c r="L187" s="26" t="str">
        <x:v>只改对应 canonical owner、最小 API/ViewModel adapter、contracts 与 targeted tests。</x:v>
      </x:c>
      <x:c r="M187" s="26" t="str">
        <x:v>禁止创建平行 DB/Evidence/Permission/Collector/AI owner；禁止 mock success；禁止 unscoped global data；禁止改 UI composition。</x:v>
      </x:c>
      <x:c r="N187" s="26" t="str">
        <x:v>现有 Evidence query/stats 全局；必须 actor/domain scoped 并逐 row validate。；成功/空/未采集/离线/拒绝/错误可区分；binding registry 有当前 source evidence；acceptance 仍需 UI/E2E。</x:v>
      </x:c>
      <x:c r="O187" s="26" t="str">
        <x:v>python -m pytest tests/test_experience_runtime.py tests/test_experience_e2e_candidate.py -q tests/test_evidence_chain.py -q</x:v>
      </x:c>
    </x:row>
    <x:row r="188" ht="42" customHeight="1">
      <x:c r="A188" s="26" t="n">
        <x:v>194</x:v>
      </x:c>
      <x:c r="B188" s="26" t="n">
        <x:v>184</x:v>
      </x:c>
      <x:c r="C188" s="26" t="str">
        <x:v>LUNA-183</x:v>
      </x:c>
      <x:c r="D188" s="26" t="str">
        <x:v>LUNA</x:v>
      </x:c>
      <x:c r="E188" s="26" t="str">
        <x:v>SH-02｜Evidence Library：App UI / UX 实现</x:v>
      </x:c>
      <x:c r="F188" s="26" t="n">
        <x:v>14</x:v>
      </x:c>
      <x:c r="G188" s="26" t="str">
        <x:v>remaining ACC / AI / Shared / SYSTEM</x:v>
      </x:c>
      <x:c r="H188" s="26" t="str">
        <x:v>ABSENT</x:v>
      </x:c>
      <x:c r="I188" s="26" t="str">
        <x:v>源码执行/验证</x:v>
      </x:c>
      <x:c r="J188" s="26" t="str">
        <x:v>在 backend contract 已可信后，实现 SH-02 的 purpose-built Flutter Experience。用户只看到任务、内容、结果与操作 ，系统内部 owner/tool/evidence contract 退到产品背后。</x:v>
      </x:c>
      <x:c r="K188" s="26" t="str">
        <x:v>已批准 SH-02 Spec；typed ViewModel/API；Experience Constitution；shared primitives whitelist；本页草图。</x:v>
      </x:c>
      <x:c r="L188" s="26" t="str">
        <x:v>仅 app/lib/features/sh/**/sh02/** (或 Sol 审核后的同 owner feature slice) + matching app/test/**；必要时只复用 已批准 shared primitives。</x:v>
      </x:c>
      <x:c r="M188" s="26" t="str">
        <x:v>禁止 generic renderer / Bento / KPI wall / SaaS dashboard / 换标题复用；禁止改 backend truth；禁止假数据；禁止 PC 缩放成 mobile。</x:v>
      </x:c>
      <x:c r="N188" s="26" t="str">
        <x:v>PC 与 mobile 均表达：搜索优先 Evidence atlas，按 source/time/domain/lineage；snapshot 与 citation 相邻。；主交 互完成：search/filter → 对照 source/extract → 看 freshness → 回 owning CTH/BMP。；mobile 重组：Evidence car ds + full-screen source trace。；状态/Trace/Return/keyboard/touch/semantics 完整。</x:v>
      </x:c>
      <x:c r="O188" s="26" t="str">
        <x:v>cd app &amp;&amp; flutter analyze &amp;&amp; flutter test ; python scripts/audit_tools/verify_experience_anti_template.py --st rict</x:v>
      </x:c>
    </x:row>
    <x:row r="189" ht="42" customHeight="1">
      <x:c r="A189" s="26" t="n">
        <x:v>195</x:v>
      </x:c>
      <x:c r="B189" s="26" t="n">
        <x:v>185</x:v>
      </x:c>
      <x:c r="C189" s="26" t="str">
        <x:v>LUNA-184</x:v>
      </x:c>
      <x:c r="D189" s="26" t="str">
        <x:v>LUNA</x:v>
      </x:c>
      <x:c r="E189" s="26" t="str">
        <x:v>SH-02｜Evidence Library：Acceptance / E2E 证据</x:v>
      </x:c>
      <x:c r="F189" s="26" t="n">
        <x:v>14</x:v>
      </x:c>
      <x:c r="G189" s="26" t="str">
        <x:v>remaining ACC / AI / Shared / SYSTEM</x:v>
      </x:c>
      <x:c r="H189" s="26" t="str">
        <x:v>ABSENT</x:v>
      </x:c>
      <x:c r="I189" s="26" t="str">
        <x:v>源码执行/验证</x:v>
      </x:c>
      <x:c r="J189" s="26" t="str">
        <x:v>独立验证 SH-02 的真实用户任务，从 App action 到 API/Permission/Canonical/Evidence/result/Return，不以“页面能渲染”作为完成。</x:v>
      </x:c>
      <x:c r="K189" s="26" t="str">
        <x:v>SH-02 Spec acceptance IDs；Flutter tests；backend tests；runtime/E2E harness；真实/隔离数据按 tier 使用。</x:v>
      </x:c>
      <x:c r="L189" s="26" t="str">
        <x:v>只补测试、测试辅助与明确 bug fix；若发现实现问题回修本 screen owner。</x:v>
      </x:c>
      <x:c r="M189" s="26" t="str">
        <x:v>禁止降低 assertion；禁止 screenshot 自证；禁止把 excluded/quarantine 当 PASS；禁止 fixture 代替 live claim。</x:v>
      </x:c>
      <x:c r="N189" s="26" t="str">
        <x:v>Widget/API/integration 至少全绿；关键 responsive widths；blocked/error/retry/Trace/Return；需要 live 的标为 LIVE_VERIFIED 或明确未验证。</x:v>
      </x:c>
      <x:c r="O189" s="26" t="str">
        <x:v>cd app &amp;&amp; flutter analyze &amp;&amp; flutter test ; python -m pytest tests/test_experience_runtime.py tests/test_experience_e2e_candidate.py -q tests/test_evidence_chain.py -q ; python scripts/audit_tools/ver ify_experience_authority_exclusive.py ; python scripts/audit_tools/verify_experience_anti_template.py --strict ; python scripts/audit_tools/verify_experience_screen_blueprints.py</x:v>
      </x:c>
    </x:row>
    <x:row r="190" ht="42" customHeight="1">
      <x:c r="A190" s="26" t="n">
        <x:v>196</x:v>
      </x:c>
      <x:c r="B190" s="26" t="n">
        <x:v>186</x:v>
      </x:c>
      <x:c r="C190" s="26" t="str">
        <x:v>SOL-185</x:v>
      </x:c>
      <x:c r="D190" s="26" t="str">
        <x:v>SOL</x:v>
      </x:c>
      <x:c r="E190" s="26" t="str">
        <x:v>SH-03｜Canonical Data 与 Metrics 浏览：Screen Spec 闭合</x:v>
      </x:c>
      <x:c r="F190" s="26" t="n">
        <x:v>14</x:v>
      </x:c>
      <x:c r="G190" s="26" t="str">
        <x:v>remaining ACC / AI / Shared / SYSTEM</x:v>
      </x:c>
      <x:c r="H190" s="26" t="str">
        <x:v>ABSENT</x:v>
      </x:c>
      <x:c r="I190" s="26" t="str">
        <x:v>产品判断/验收</x:v>
      </x:c>
      <x:c r="J190" s="26" t="str">
        <x:v>把 SH-03 的用户问题、entry/return、PC/mobile composition、真实 fields/actions、state matrix、permission/evidence、acceptance 全部收敛成可施工 Spec。</x:v>
      </x:c>
      <x:c r="K190" s="26" t="str">
        <x:v>Experience Constitution §36 SH-03 blueprint；contracts/experience/screens/SH-03/；binding registry；BACKEND-GAP-051；当前 source owner/caller/tests。</x:v>
      </x:c>
      <x:c r="L190" s="26" t="str">
        <x:v>只更新/审核 contracts/experience/screen-specifications/&lt;ID&gt;.md 与必要 binding ledger；产品架构不变。</x:v>
      </x:c>
      <x:c r="M190" s="26" t="str">
        <x:v>禁止从 fixture 推断 production；UNKNOWN owner/API/permission/lineage 必须阻塞相应行为；禁止画成通用 dashboard。</x:v>
      </x:c>
      <x:c r="N190" s="26" t="str">
        <x:v>Spec 明确：schema/metric explorer 分开 definition/owner/lineage/sample；derived 标识清楚。；主操作：选 field/metric → traverse lineage；只读，不编辑 business fact。；移动：metric list + definition + lineage drilldown。；所有字段/动作有 source 或明确 BLOCKED。</x:v>
      </x:c>
      <x:c r="O190" s="26" t="str">
        <x:v>python scripts/audit_tools/verify_experience_screen_blueprints.py；人工核对 Spec 10 sections 完整，产品 owner approval 记录清楚。</x:v>
      </x:c>
    </x:row>
    <x:row r="191" ht="42" customHeight="1">
      <x:c r="A191" s="26" t="n">
        <x:v>197</x:v>
      </x:c>
      <x:c r="B191" s="26" t="n">
        <x:v>187</x:v>
      </x:c>
      <x:c r="C191" s="26" t="str">
        <x:v>LUNA-186</x:v>
      </x:c>
      <x:c r="D191" s="26" t="str">
        <x:v>LUNA</x:v>
      </x:c>
      <x:c r="E191" s="26" t="str">
        <x:v>SH-03｜Canonical Data 与 Metrics 浏览：Backend / Binding 闭合</x:v>
      </x:c>
      <x:c r="F191" s="26" t="n">
        <x:v>14</x:v>
      </x:c>
      <x:c r="G191" s="26" t="str">
        <x:v>remaining ACC / AI / Shared / SYSTEM</x:v>
      </x:c>
      <x:c r="H191" s="26" t="str">
        <x:v>PARTIAL</x:v>
      </x:c>
      <x:c r="I191" s="26" t="str">
        <x:v>源码执行/验证</x:v>
      </x:c>
      <x:c r="J191" s="26" t="str">
        <x:v>仅关闭 SH-03 依赖的真实后端 binding：复用 canonical owner，把 scope/Permission/Evidence/state 绑定完整；不做 UI。</x:v>
      </x:c>
      <x:c r="K191" s="26" t="str">
        <x:v>已批准 SH-03 Screen Spec；BACKEND_GAP rows 051；当前 owner/caller/tests；binding registry。</x:v>
      </x:c>
      <x:c r="L191" s="26" t="str">
        <x:v>只改对应 canonical owner、最小 API/ViewModel adapter、contracts 与 targeted tests。</x:v>
      </x:c>
      <x:c r="M191" s="26" t="str">
        <x:v>禁止创建平行 DB/Evidence/Permission/Collector/AI owner；禁止 mock success；禁止 unscoped global data；禁止改 UI composition。</x:v>
      </x:c>
      <x:c r="N191" s="26" t="str">
        <x:v>global canonical counts 不能直接给 App；先做 authorized product/domain filtering + Evidence lineage。；成功/空/未采集/离线/拒绝/错误可区分；binding registry 有当前 source evidence；acceptance 仍需 UI/ E2E。</x:v>
      </x:c>
      <x:c r="O191" s="26" t="str">
        <x:v>python -m pytest tests/test_experience_runtime.py tests/test_experience_e2e_candidate.py -q tests/test_evidence_chain.py -q</x:v>
      </x:c>
    </x:row>
    <x:row r="192" ht="42" customHeight="1">
      <x:c r="A192" s="26" t="n">
        <x:v>198</x:v>
      </x:c>
      <x:c r="B192" s="26" t="n">
        <x:v>188</x:v>
      </x:c>
      <x:c r="C192" s="26" t="str">
        <x:v>LUNA-187</x:v>
      </x:c>
      <x:c r="D192" s="26" t="str">
        <x:v>LUNA</x:v>
      </x:c>
      <x:c r="E192" s="26" t="str">
        <x:v>SH-03｜Canonical Data 与 Metrics 浏览：App UI / UX 实现</x:v>
      </x:c>
      <x:c r="F192" s="26" t="n">
        <x:v>14</x:v>
      </x:c>
      <x:c r="G192" s="26" t="str">
        <x:v>remaining ACC / AI / Shared / SYSTEM</x:v>
      </x:c>
      <x:c r="H192" s="26" t="str">
        <x:v>ABSENT</x:v>
      </x:c>
      <x:c r="I192" s="26" t="str">
        <x:v>源码执行/验证</x:v>
      </x:c>
      <x:c r="J192" s="26" t="str">
        <x:v>在 backend contract 已可信后，实现 SH-03 的 purpose-built Flutter Experience。用户只看到任务、内容、结果与操作 ，系统内部 owner/tool/evidence contract 退到产品背后。</x:v>
      </x:c>
      <x:c r="K192" s="26" t="str">
        <x:v>已批准 SH-03 Spec；typed ViewModel/API；Experience Constitution；shared primitives whitelist；本页草图。</x:v>
      </x:c>
      <x:c r="L192" s="26" t="str">
        <x:v>仅 app/lib/features/sh/**/sh03/** (或 Sol 审核后的同 owner feature slice) + matching app/test/**；必要时只复用 已批准 shared primitives。</x:v>
      </x:c>
      <x:c r="M192" s="26" t="str">
        <x:v>禁止 generic renderer / Bento / KPI wall / SaaS dashboard / 换标题复用；禁止改 backend truth；禁止假数据；禁止 PC 缩放成 mobile。</x:v>
      </x:c>
      <x:c r="N192" s="26" t="str">
        <x:v>PC 与 mobile 均表达：schema/metric explorer 分开 definition/owner/lineage/sample；derived 标识清楚。；主交互完 成：选 field/metric → traverse lineage；只读，不编辑 business fact。；mobile 重组：metric list + definition + lineage drilldown。；状态/Trace/Return/keyboard/touch/semantics 完整。</x:v>
      </x:c>
      <x:c r="O192" s="26" t="str">
        <x:v>cd app &amp;&amp; flutter analyze &amp;&amp; flutter test ; python scripts/audit_tools/verify_experience_anti_template.py --st rict</x:v>
      </x:c>
    </x:row>
    <x:row r="193" ht="42" customHeight="1">
      <x:c r="A193" s="26" t="n">
        <x:v>199</x:v>
      </x:c>
      <x:c r="B193" s="26" t="n">
        <x:v>189</x:v>
      </x:c>
      <x:c r="C193" s="26" t="str">
        <x:v>LUNA-188</x:v>
      </x:c>
      <x:c r="D193" s="26" t="str">
        <x:v>LUNA</x:v>
      </x:c>
      <x:c r="E193" s="26" t="str">
        <x:v>SH-03｜Canonical Data 与 Metrics 浏览：Acceptance / E2E 证据</x:v>
      </x:c>
      <x:c r="F193" s="26" t="n">
        <x:v>14</x:v>
      </x:c>
      <x:c r="G193" s="26" t="str">
        <x:v>remaining ACC / AI / Shared / SYSTEM</x:v>
      </x:c>
      <x:c r="H193" s="26" t="str">
        <x:v>ABSENT</x:v>
      </x:c>
      <x:c r="I193" s="26" t="str">
        <x:v>源码执行/验证</x:v>
      </x:c>
      <x:c r="J193" s="26" t="str">
        <x:v>独立验证 SH-03 的真实用户任务，从 App action 到 API/Permission/Canonical/Evidence/result/Return，不以“页面能渲染”作为完成。</x:v>
      </x:c>
      <x:c r="K193" s="26" t="str">
        <x:v>SH-03 Spec acceptance IDs；Flutter tests；backend tests；runtime/E2E harness；真实/隔离数据按 tier 使用。</x:v>
      </x:c>
      <x:c r="L193" s="26" t="str">
        <x:v>只补测试、测试辅助与明确 bug fix；若发现实现问题回修本 screen owner。</x:v>
      </x:c>
      <x:c r="M193" s="26" t="str">
        <x:v>禁止降低 assertion；禁止 screenshot 自证；禁止把 excluded/quarantine 当 PASS；禁止 fixture 代替 live claim。</x:v>
      </x:c>
      <x:c r="N193" s="26" t="str">
        <x:v>Widget/API/integration 至少全绿；关键 responsive widths；blocked/error/retry/Trace/Return；需要 live 的标为 LIVE_VERIFIED 或明确未验证。</x:v>
      </x:c>
      <x:c r="O193" s="26" t="str">
        <x:v>cd app &amp;&amp; flutter analyze &amp;&amp; flutter test ; python -m pytest tests/test_experience_runtime.py tests/test_experience_e2e_candidate.py -q tests/test_evidence_chain.py -q ; python scripts/audit_tools/ver ify_experience_authority_exclusive.py ; python scripts/audit_tools/verify_experience_anti_template.py --strict ; python scripts/audit_tools/verify_experience_screen_blueprints.py</x:v>
      </x:c>
    </x:row>
    <x:row r="194" ht="42" customHeight="1">
      <x:c r="A194" s="26" t="n">
        <x:v>200</x:v>
      </x:c>
      <x:c r="B194" s="26" t="n">
        <x:v>190</x:v>
      </x:c>
      <x:c r="C194" s="26" t="str">
        <x:v>SOL-189</x:v>
      </x:c>
      <x:c r="D194" s="26" t="str">
        <x:v>SOL</x:v>
      </x:c>
      <x:c r="E194" s="26" t="str">
        <x:v>SH-04｜报告导出中心：Screen Spec 闭合</x:v>
      </x:c>
      <x:c r="F194" s="26" t="n">
        <x:v>14</x:v>
      </x:c>
      <x:c r="G194" s="26" t="str">
        <x:v>remaining ACC / AI / Shared / SYSTEM</x:v>
      </x:c>
      <x:c r="H194" s="26" t="str">
        <x:v>ABSENT</x:v>
      </x:c>
      <x:c r="I194" s="26" t="str">
        <x:v>产品判断/验收</x:v>
      </x:c>
      <x:c r="J194" s="26" t="str">
        <x:v>把 SH-04 的用户问题、entry/return、PC/mobile composition、真实 fields/actions、state matrix、permission/evidence、acceptance 全部收敛成可施工 Spec。</x:v>
      </x:c>
      <x:c r="K194" s="26" t="str">
        <x:v>Experience Constitution §36 SH-04 blueprint；contracts/experience/screens/SH-04/；binding registry；BACKEND-GAP-052；当前 source owner/caller/tests。</x:v>
      </x:c>
      <x:c r="L194" s="26" t="str">
        <x:v>只更新/审核 contracts/experience/screen-specifications/&lt;ID&gt;.md 与必要 binding ledger；产品架构不变。</x:v>
      </x:c>
      <x:c r="M194" s="26" t="str">
        <x:v>禁止从 fixture 推断 production；UNKNOWN owner/API/permission/lineage 必须阻塞相应行为；禁止画成通用 dashboard。</x:v>
      </x:c>
      <x:c r="N194" s="26" t="str">
        <x:v>Spec 明确：configuration / preview / completed artifact / failed export 分状态；旁边展示 provenance。；主操作：选支持格式 → scope → preview → export → audited artifact。；移动：guided export + fin al artifact view。；所有字段/动作有 source 或明确 BLOCKED。</x:v>
      </x:c>
      <x:c r="O194" s="26" t="str">
        <x:v>python scripts/audit_tools/verify_experience_screen_blueprints.py；人工核对 Spec 10 sections 完整，产品 owner approval 记录清楚。</x:v>
      </x:c>
    </x:row>
    <x:row r="195" ht="42" customHeight="1">
      <x:c r="A195" s="26" t="n">
        <x:v>201</x:v>
      </x:c>
      <x:c r="B195" s="26" t="n">
        <x:v>191</x:v>
      </x:c>
      <x:c r="C195" s="26" t="str">
        <x:v>LUNA-190</x:v>
      </x:c>
      <x:c r="D195" s="26" t="str">
        <x:v>LUNA</x:v>
      </x:c>
      <x:c r="E195" s="26" t="str">
        <x:v>SH-04｜报告导出中心：Backend / Binding 闭合</x:v>
      </x:c>
      <x:c r="F195" s="26" t="n">
        <x:v>14</x:v>
      </x:c>
      <x:c r="G195" s="26" t="str">
        <x:v>remaining ACC / AI / Shared / SYSTEM</x:v>
      </x:c>
      <x:c r="H195" s="26" t="str">
        <x:v>PARTIAL</x:v>
      </x:c>
      <x:c r="I195" s="26" t="str">
        <x:v>源码执行/验证</x:v>
      </x:c>
      <x:c r="J195" s="26" t="str">
        <x:v>仅关闭 SH-04 依赖的真实后端 binding：复用 canonical owner，把 scope/Permission/Evidence/state 绑定完整；不做 UI。</x:v>
      </x:c>
      <x:c r="K195" s="26" t="str">
        <x:v>已批准 SH-04 Screen Spec；BACKEND_GAP rows 052；当前 owner/caller/tests；binding registry。</x:v>
      </x:c>
      <x:c r="L195" s="26" t="str">
        <x:v>只改对应 canonical owner、最小 API/ViewModel adapter、contracts 与 targeted tests。</x:v>
      </x:c>
      <x:c r="M195" s="26" t="str">
        <x:v>禁止创建平行 DB/Evidence/Permission/Collector/AI owner；禁止 mock success；禁止 unscoped global data；禁止改 UI composition。</x:v>
      </x:c>
      <x:c r="N195" s="26" t="str">
        <x:v>保留 report catalog；export 必须绑定 Permission + approval/effect fence + audit/Evidence。；成功/空/未采集/离线/拒绝/错误可区分；binding registry 有当前 source evidence；acceptance 仍需 UI/E2E。</x:v>
      </x:c>
      <x:c r="O195" s="26" t="str">
        <x:v>python -m pytest tests/test_experience_runtime.py tests/test_experience_e2e_candidate.py -q tests/test_evidence_chain.py -q</x:v>
      </x:c>
    </x:row>
    <x:row r="196" ht="42" customHeight="1">
      <x:c r="A196" s="26" t="n">
        <x:v>202</x:v>
      </x:c>
      <x:c r="B196" s="26" t="n">
        <x:v>192</x:v>
      </x:c>
      <x:c r="C196" s="26" t="str">
        <x:v>LUNA-191</x:v>
      </x:c>
      <x:c r="D196" s="26" t="str">
        <x:v>LUNA</x:v>
      </x:c>
      <x:c r="E196" s="26" t="str">
        <x:v>SH-04｜报告导出中心：App UI / UX 实现</x:v>
      </x:c>
      <x:c r="F196" s="26" t="n">
        <x:v>14</x:v>
      </x:c>
      <x:c r="G196" s="26" t="str">
        <x:v>remaining ACC / AI / Shared / SYSTEM</x:v>
      </x:c>
      <x:c r="H196" s="26" t="str">
        <x:v>ABSENT</x:v>
      </x:c>
      <x:c r="I196" s="26" t="str">
        <x:v>源码执行/验证</x:v>
      </x:c>
      <x:c r="J196" s="26" t="str">
        <x:v>在 backend contract 已可信后，实现 SH-04 的 purpose-built Flutter Experience。用户只看到任务、内容、结果与操作 ，系统内部 owner/tool/evidence contract 退到产品背后。</x:v>
      </x:c>
      <x:c r="K196" s="26" t="str">
        <x:v>已批准 SH-04 Spec；typed ViewModel/API；Experience Constitution；shared primitives whitelist；本页草图。</x:v>
      </x:c>
      <x:c r="L196" s="26" t="str">
        <x:v>仅 app/lib/features/sh/**/sh04/** (或 Sol 审核后的同 owner feature slice) + matching app/test/**；必要时只复用 已批准 shared primitives。</x:v>
      </x:c>
      <x:c r="M196" s="26" t="str">
        <x:v>禁止 generic renderer / Bento / KPI wall / SaaS dashboard / 换标题复用；禁止改 backend truth；禁止假数据；禁止 PC 缩放成 mobile。</x:v>
      </x:c>
      <x:c r="N196" s="26" t="str">
        <x:v>PC 与 mobile 均表达：configuration / preview / completed artifact / failed export 分状态；旁边展示 provenance 。；主交互完成：选支持格式 → scope → preview → export → audited artifact。；mobile 重组：guided export + f inal artifact view。；状态/Trace/Return/keyboard/touch/semantics 完整。</x:v>
      </x:c>
      <x:c r="O196" s="26" t="str">
        <x:v>cd app &amp;&amp; flutter analyze &amp;&amp; flutter test ; python scripts/audit_tools/verify_experience_anti_template.py --st rict</x:v>
      </x:c>
    </x:row>
    <x:row r="197" ht="42" customHeight="1">
      <x:c r="A197" s="26" t="n">
        <x:v>203</x:v>
      </x:c>
      <x:c r="B197" s="26" t="n">
        <x:v>193</x:v>
      </x:c>
      <x:c r="C197" s="26" t="str">
        <x:v>LUNA-192</x:v>
      </x:c>
      <x:c r="D197" s="26" t="str">
        <x:v>LUNA</x:v>
      </x:c>
      <x:c r="E197" s="26" t="str">
        <x:v>SH-04｜报告导出中心：Acceptance / E2E 证据</x:v>
      </x:c>
      <x:c r="F197" s="26" t="n">
        <x:v>14</x:v>
      </x:c>
      <x:c r="G197" s="26" t="str">
        <x:v>remaining ACC / AI / Shared / SYSTEM</x:v>
      </x:c>
      <x:c r="H197" s="26" t="str">
        <x:v>ABSENT</x:v>
      </x:c>
      <x:c r="I197" s="26" t="str">
        <x:v>源码执行/验证</x:v>
      </x:c>
      <x:c r="J197" s="26" t="str">
        <x:v>独立验证 SH-04 的真实用户任务，从 App action 到 API/Permission/Canonical/Evidence/result/Return，不以“页面能渲染”作为完成。</x:v>
      </x:c>
      <x:c r="K197" s="26" t="str">
        <x:v>SH-04 Spec acceptance IDs；Flutter tests；backend tests；runtime/E2E harness；真实/隔离数据按 tier 使用。</x:v>
      </x:c>
      <x:c r="L197" s="26" t="str">
        <x:v>只补测试、测试辅助与明确 bug fix；若发现实现问题回修本 screen owner。</x:v>
      </x:c>
      <x:c r="M197" s="26" t="str">
        <x:v>禁止降低 assertion；禁止 screenshot 自证；禁止把 excluded/quarantine 当 PASS；禁止 fixture 代替 live claim。</x:v>
      </x:c>
      <x:c r="N197" s="26" t="str">
        <x:v>Widget/API/integration 至少全绿；关键 responsive widths；blocked/error/retry/Trace/Return；需要 live 的标为 LIVE_VERIFIED 或明确未验证。</x:v>
      </x:c>
      <x:c r="O197" s="26" t="str">
        <x:v>cd app &amp;&amp; flutter analyze &amp;&amp; flutter test ; python -m pytest tests/test_experience_runtime.py tests/test_experience_e2e_candidate.py -q tests/test_evidence_chain.py -q ; python scripts/audit_tools/ver ify_experience_authority_exclusive.py ; python scripts/audit_tools/verify_experience_anti_template.py --strict ; python scripts/audit_tools/verify_experience_screen_blueprints.py</x:v>
      </x:c>
    </x:row>
    <x:row r="198" ht="42" customHeight="1">
      <x:c r="A198" s="26" t="n">
        <x:v>204</x:v>
      </x:c>
      <x:c r="B198" s="26" t="n">
        <x:v>194</x:v>
      </x:c>
      <x:c r="C198" s="26" t="str">
        <x:v>SOL-193</x:v>
      </x:c>
      <x:c r="D198" s="26" t="str">
        <x:v>SOL</x:v>
      </x:c>
      <x:c r="E198" s="26" t="str">
        <x:v>SH-05｜学习与评估资产：Screen Spec 闭合</x:v>
      </x:c>
      <x:c r="F198" s="26" t="n">
        <x:v>14</x:v>
      </x:c>
      <x:c r="G198" s="26" t="str">
        <x:v>remaining ACC / AI / Shared / SYSTEM</x:v>
      </x:c>
      <x:c r="H198" s="26" t="str">
        <x:v>ABSENT</x:v>
      </x:c>
      <x:c r="I198" s="26" t="str">
        <x:v>产品判断/验收</x:v>
      </x:c>
      <x:c r="J198" s="26" t="str">
        <x:v>把 SH-05 的用户问题、entry/return、PC/mobile composition、真实 fields/actions、state matrix、permission/evidence、acceptance 全部收敛成可施工 Spec。</x:v>
      </x:c>
      <x:c r="K198" s="26" t="str">
        <x:v>Experience Constitution §36 SH-05 blueprint；contracts/experience/screens/SH-05/；binding registry；BACKEND-GAP-053；当前 source owner/caller/tests。</x:v>
      </x:c>
      <x:c r="L198" s="26" t="str">
        <x:v>只更新/审核 contracts/experience/screen-specifications/&lt;ID&gt;.md 与必要 binding ledger；产品架构不变。</x:v>
      </x:c>
      <x:c r="M198" s="26" t="str">
        <x:v>禁止从 fixture 推断 production；UNKNOWN owner/API/permission/lineage 必须阻塞相应行为；禁止画成通用 dashboard。</x:v>
      </x:c>
      <x:c r="N198" s="26" t="str">
        <x:v>Spec 明确：verified SOP/retrospective/training/evaluation 与 draft 分开；provenance/review date 可见。；主操作：打开 asset → verification history → propose revision / cited task input。；移动：filte red library + reading view。；所有字段/动作有 source 或明确 BLOCKED。</x:v>
      </x:c>
      <x:c r="O198" s="26" t="str">
        <x:v>python scripts/audit_tools/verify_experience_screen_blueprints.py；人工核对 Spec 10 sections 完整，产品 owner approval 记录清楚。</x:v>
      </x:c>
    </x:row>
    <x:row r="199" ht="42" customHeight="1">
      <x:c r="A199" s="26" t="n">
        <x:v>205</x:v>
      </x:c>
      <x:c r="B199" s="26" t="n">
        <x:v>195</x:v>
      </x:c>
      <x:c r="C199" s="26" t="str">
        <x:v>LUNA-194</x:v>
      </x:c>
      <x:c r="D199" s="26" t="str">
        <x:v>LUNA</x:v>
      </x:c>
      <x:c r="E199" s="26" t="str">
        <x:v>SH-05｜学习与评估资产：Backend / Binding 闭合</x:v>
      </x:c>
      <x:c r="F199" s="26" t="n">
        <x:v>14</x:v>
      </x:c>
      <x:c r="G199" s="26" t="str">
        <x:v>remaining ACC / AI / Shared / SYSTEM</x:v>
      </x:c>
      <x:c r="H199" s="26" t="str">
        <x:v>PARTIAL</x:v>
      </x:c>
      <x:c r="I199" s="26" t="str">
        <x:v>源码执行/验证</x:v>
      </x:c>
      <x:c r="J199" s="26" t="str">
        <x:v>仅关闭 SH-05 依赖的真实后端 binding：复用 canonical owner，把 scope/Permission/Evidence/state 绑定完整；不做 UI。</x:v>
      </x:c>
      <x:c r="K199" s="26" t="str">
        <x:v>已批准 SH-05 Screen Spec；BACKEND_GAP rows 053；当前 owner/caller/tests；binding registry。</x:v>
      </x:c>
      <x:c r="L199" s="26" t="str">
        <x:v>只改对应 canonical owner、最小 API/ViewModel adapter、contracts 与 targeted tests。</x:v>
      </x:c>
      <x:c r="M199" s="26" t="str">
        <x:v>禁止创建平行 DB/Evidence/Permission/Collector/AI owner；禁止 mock success；禁止 unscoped global data；禁止改 UI composition。</x:v>
      </x:c>
      <x:c r="N199" s="26" t="str">
        <x:v>复用 learning owner；加 domain/origin scope 与 lineage。；成功/空/未采集/离线/拒绝/错误可区分；binding registry 有当前 source evidence；acceptance 仍需 UI/E2E。</x:v>
      </x:c>
      <x:c r="O199" s="26" t="str">
        <x:v>python -m pytest tests/test_experience_runtime.py tests/test_experience_e2e_candidate.py -q tests/test_evidence_chain.py -q</x:v>
      </x:c>
    </x:row>
    <x:row r="200" ht="42" customHeight="1">
      <x:c r="A200" s="26" t="n">
        <x:v>206</x:v>
      </x:c>
      <x:c r="B200" s="26" t="n">
        <x:v>196</x:v>
      </x:c>
      <x:c r="C200" s="26" t="str">
        <x:v>LUNA-195</x:v>
      </x:c>
      <x:c r="D200" s="26" t="str">
        <x:v>LUNA</x:v>
      </x:c>
      <x:c r="E200" s="26" t="str">
        <x:v>SH-05｜学习与评估资产：App UI / UX 实现</x:v>
      </x:c>
      <x:c r="F200" s="26" t="n">
        <x:v>14</x:v>
      </x:c>
      <x:c r="G200" s="26" t="str">
        <x:v>remaining ACC / AI / Shared / SYSTEM</x:v>
      </x:c>
      <x:c r="H200" s="26" t="str">
        <x:v>ABSENT</x:v>
      </x:c>
      <x:c r="I200" s="26" t="str">
        <x:v>源码执行/验证</x:v>
      </x:c>
      <x:c r="J200" s="26" t="str">
        <x:v>在 backend contract 已可信后，实现 SH-05 的 purpose-built Flutter Experience。用户只看到任务、内容、结果与操作 ，系统内部 owner/tool/evidence contract 退到产品背后。</x:v>
      </x:c>
      <x:c r="K200" s="26" t="str">
        <x:v>已批准 SH-05 Spec；typed ViewModel/API；Experience Constitution；shared primitives whitelist；本页草图。</x:v>
      </x:c>
      <x:c r="L200" s="26" t="str">
        <x:v>仅 app/lib/features/sh/**/sh05/** (或 Sol 审核后的同 owner feature slice) + matching app/test/**；必要时只复用 已批准 shared primitives。</x:v>
      </x:c>
      <x:c r="M200" s="26" t="str">
        <x:v>禁止 generic renderer / Bento / KPI wall / SaaS dashboard / 换标题复用；禁止改 backend truth；禁止假数据；禁止 PC 缩放成 mobile。</x:v>
      </x:c>
      <x:c r="N200" s="26" t="str">
        <x:v>PC 与 mobile 均表达：verified SOP/retrospective/training/evaluation 与 draft 分开；provenance/review date 可见 。；主交互完成：打开 asset → verification history → propose revision / cited task input。；mobile 重组：filt ered library + reading view。；状态/Trace/Return/keyboard/touch/semantics 完整。</x:v>
      </x:c>
      <x:c r="O200" s="26" t="str">
        <x:v>cd app &amp;&amp; flutter analyze &amp;&amp; flutter test ; python scripts/audit_tools/verify_experience_anti_template.py --st rict</x:v>
      </x:c>
    </x:row>
    <x:row r="201" ht="42" customHeight="1">
      <x:c r="A201" s="26" t="n">
        <x:v>207</x:v>
      </x:c>
      <x:c r="B201" s="26" t="n">
        <x:v>197</x:v>
      </x:c>
      <x:c r="C201" s="26" t="str">
        <x:v>LUNA-196</x:v>
      </x:c>
      <x:c r="D201" s="26" t="str">
        <x:v>LUNA</x:v>
      </x:c>
      <x:c r="E201" s="26" t="str">
        <x:v>SH-05｜学习与评估资产：Acceptance / E2E 证据</x:v>
      </x:c>
      <x:c r="F201" s="26" t="n">
        <x:v>14</x:v>
      </x:c>
      <x:c r="G201" s="26" t="str">
        <x:v>remaining ACC / AI / Shared / SYSTEM</x:v>
      </x:c>
      <x:c r="H201" s="26" t="str">
        <x:v>ABSENT</x:v>
      </x:c>
      <x:c r="I201" s="26" t="str">
        <x:v>源码执行/验证</x:v>
      </x:c>
      <x:c r="J201" s="26" t="str">
        <x:v>独立验证 SH-05 的真实用户任务，从 App action 到 API/Permission/Canonical/Evidence/result/Return，不以“页面能渲染”作为完成。</x:v>
      </x:c>
      <x:c r="K201" s="26" t="str">
        <x:v>SH-05 Spec acceptance IDs；Flutter tests；backend tests；runtime/E2E harness；真实/隔离数据按 tier 使用。</x:v>
      </x:c>
      <x:c r="L201" s="26" t="str">
        <x:v>只补测试、测试辅助与明确 bug fix；若发现实现问题回修本 screen owner。</x:v>
      </x:c>
      <x:c r="M201" s="26" t="str">
        <x:v>禁止降低 assertion；禁止 screenshot 自证；禁止把 excluded/quarantine 当 PASS；禁止 fixture 代替 live claim。</x:v>
      </x:c>
      <x:c r="N201" s="26" t="str">
        <x:v>Widget/API/integration 至少全绿；关键 responsive widths；blocked/error/retry/Trace/Return；需要 live 的标为 LIVE_VERIFIED 或明确未验证。</x:v>
      </x:c>
      <x:c r="O201" s="26" t="str">
        <x:v>cd app &amp;&amp; flutter analyze &amp;&amp; flutter test ; python -m pytest tests/test_experience_runtime.py tests/test_experience_e2e_candidate.py -q tests/test_evidence_chain.py -q ; python scripts/audit_tools/ver ify_experience_authority_exclusive.py ; python scripts/audit_tools/verify_experience_anti_template.py --strict ; python scripts/audit_tools/verify_experience_screen_blueprints.py</x:v>
      </x:c>
    </x:row>
    <x:row r="202" ht="42" customHeight="1">
      <x:c r="A202" s="26" t="n">
        <x:v>208</x:v>
      </x:c>
      <x:c r="B202" s="26" t="n">
        <x:v>198</x:v>
      </x:c>
      <x:c r="C202" s="26" t="str">
        <x:v>SOL-197</x:v>
      </x:c>
      <x:c r="D202" s="26" t="str">
        <x:v>SOL</x:v>
      </x:c>
      <x:c r="E202" s="26" t="str">
        <x:v>SH-06｜通知与任务：Screen Spec 闭合</x:v>
      </x:c>
      <x:c r="F202" s="26" t="n">
        <x:v>14</x:v>
      </x:c>
      <x:c r="G202" s="26" t="str">
        <x:v>remaining ACC / AI / Shared / SYSTEM</x:v>
      </x:c>
      <x:c r="H202" s="26" t="str">
        <x:v>ABSENT</x:v>
      </x:c>
      <x:c r="I202" s="26" t="str">
        <x:v>产品判断/验收</x:v>
      </x:c>
      <x:c r="J202" s="26" t="str">
        <x:v>把 SH-06 的用户问题、entry/return、PC/mobile composition、真实 fields/actions、state matrix、permission/evidence、acceptance 全部收敛成可施工 Spec。</x:v>
      </x:c>
      <x:c r="K202" s="26" t="str">
        <x:v>Experience Constitution §36 SH-06 blueprint；contracts/experience/screens/SH-06/；binding registry；BACKEND-GAP-054；当前 source owner/caller/tests。</x:v>
      </x:c>
      <x:c r="L202" s="26" t="str">
        <x:v>只更新/审核 contracts/experience/screen-specifications/&lt;ID&gt;.md 与必要 binding ledger；产品架构不变。</x:v>
      </x:c>
      <x:c r="M202" s="26" t="str">
        <x:v>禁止从 fixture 推断 production；UNKNOWN owner/API/permission/lineage 必须阻塞相应行为；禁止画成通用 dashboard。</x:v>
      </x:c>
      <x:c r="N202" s="26" t="str">
        <x:v>Spec 明确：Approval / owned task / alert / info subscription 分 urgency lanes，带 source context。；主操作：triage/assign/snooze/resolve 走授权 action；Return origin。；移动：priority queue + full-scr een task action。；所有字段/动作有 source 或明确 BLOCKED。</x:v>
      </x:c>
      <x:c r="O202" s="26" t="str">
        <x:v>python scripts/audit_tools/verify_experience_screen_blueprints.py；人工核对 Spec 10 sections 完整，产品 owner approval 记录清楚。</x:v>
      </x:c>
    </x:row>
    <x:row r="203" ht="42" customHeight="1">
      <x:c r="A203" s="26" t="n">
        <x:v>209</x:v>
      </x:c>
      <x:c r="B203" s="26" t="n">
        <x:v>199</x:v>
      </x:c>
      <x:c r="C203" s="26" t="str">
        <x:v>LUNA-198</x:v>
      </x:c>
      <x:c r="D203" s="26" t="str">
        <x:v>LUNA</x:v>
      </x:c>
      <x:c r="E203" s="26" t="str">
        <x:v>SH-06｜通知与任务：Backend / Binding 闭合</x:v>
      </x:c>
      <x:c r="F203" s="26" t="n">
        <x:v>14</x:v>
      </x:c>
      <x:c r="G203" s="26" t="str">
        <x:v>remaining ACC / AI / Shared / SYSTEM</x:v>
      </x:c>
      <x:c r="H203" s="26" t="str">
        <x:v>PARTIAL</x:v>
      </x:c>
      <x:c r="I203" s="26" t="str">
        <x:v>源码执行/验证</x:v>
      </x:c>
      <x:c r="J203" s="26" t="str">
        <x:v>仅关闭 SH-06 依赖的真实后端 binding：复用 canonical owner，把 scope/Permission/Evidence/state 绑定完整；不做 UI。</x:v>
      </x:c>
      <x:c r="K203" s="26" t="str">
        <x:v>已批准 SH-06 Screen Spec；BACKEND_GAP rows 054；当前 owner/caller/tests；binding registry。</x:v>
      </x:c>
      <x:c r="L203" s="26" t="str">
        <x:v>只改对应 canonical owner、最小 API/ViewModel adapter、contracts 与 targeted tests。</x:v>
      </x:c>
      <x:c r="M203" s="26" t="str">
        <x:v>禁止创建平行 DB/Evidence/Permission/Collector/AI owner；禁止 mock success；禁止 unscoped global data；禁止改 UI composition。</x:v>
      </x:c>
      <x:c r="N203" s="26" t="str">
        <x:v>TaskEngine 保持 SYSTEM；operator read 要 scope，queue/offline/error 状态保真。；成功/空/未采集/离线/拒绝/错误可区分；binding registry 有当前 source evidence；acceptance 仍需 UI/E2E。</x:v>
      </x:c>
      <x:c r="O203" s="26" t="str">
        <x:v>python -m pytest tests/test_experience_runtime.py tests/test_experience_e2e_candidate.py -q tests/test_evidence_chain.py -q</x:v>
      </x:c>
    </x:row>
    <x:row r="204" ht="42" customHeight="1">
      <x:c r="A204" s="26" t="n">
        <x:v>210</x:v>
      </x:c>
      <x:c r="B204" s="26" t="n">
        <x:v>200</x:v>
      </x:c>
      <x:c r="C204" s="26" t="str">
        <x:v>LUNA-199</x:v>
      </x:c>
      <x:c r="D204" s="26" t="str">
        <x:v>LUNA</x:v>
      </x:c>
      <x:c r="E204" s="26" t="str">
        <x:v>SH-06｜通知与任务：App UI / UX 实现</x:v>
      </x:c>
      <x:c r="F204" s="26" t="n">
        <x:v>14</x:v>
      </x:c>
      <x:c r="G204" s="26" t="str">
        <x:v>remaining ACC / AI / Shared / SYSTEM</x:v>
      </x:c>
      <x:c r="H204" s="26" t="str">
        <x:v>ABSENT</x:v>
      </x:c>
      <x:c r="I204" s="26" t="str">
        <x:v>源码执行/验证</x:v>
      </x:c>
      <x:c r="J204" s="26" t="str">
        <x:v>在 backend contract 已可信后，实现 SH-06 的 purpose-built Flutter Experience。用户只看到任务、内容、结果与操作 ，系统内部 owner/tool/evidence contract 退到产品背后。</x:v>
      </x:c>
      <x:c r="K204" s="26" t="str">
        <x:v>已批准 SH-06 Spec；typed ViewModel/API；Experience Constitution；shared primitives whitelist；本页草图。</x:v>
      </x:c>
      <x:c r="L204" s="26" t="str">
        <x:v>仅 app/lib/features/sh/**/sh06/** (或 Sol 审核后的同 owner feature slice) + matching app/test/**；必要时只复用 已批准 shared primitives。</x:v>
      </x:c>
      <x:c r="M204" s="26" t="str">
        <x:v>禁止 generic renderer / Bento / KPI wall / SaaS dashboard / 换标题复用；禁止改 backend truth；禁止假数据；禁止 PC 缩放成 mobile。</x:v>
      </x:c>
      <x:c r="N204" s="26" t="str">
        <x:v>PC 与 mobile 均表达：Approval / owned task / alert / info subscription 分 urgency lanes，带 source context。； 主交互完成：triage/assign/snooze/resolve 走授权 action；Return origin。；mobile 重组：priority queue + full-sc reen task action。；状态/Trace/Return/keyboard/touch/semantics 完整。</x:v>
      </x:c>
      <x:c r="O204" s="26" t="str">
        <x:v>cd app &amp;&amp; flutter analyze &amp;&amp; flutter test ; python scripts/audit_tools/verify_experience_anti_template.py --st rict</x:v>
      </x:c>
    </x:row>
    <x:row r="205" ht="42" customHeight="1">
      <x:c r="A205" s="26" t="n">
        <x:v>211</x:v>
      </x:c>
      <x:c r="B205" s="26" t="n">
        <x:v>201</x:v>
      </x:c>
      <x:c r="C205" s="26" t="str">
        <x:v>LUNA-200</x:v>
      </x:c>
      <x:c r="D205" s="26" t="str">
        <x:v>LUNA</x:v>
      </x:c>
      <x:c r="E205" s="26" t="str">
        <x:v>SH-06｜通知与任务：Acceptance / E2E 证据</x:v>
      </x:c>
      <x:c r="F205" s="26" t="n">
        <x:v>14</x:v>
      </x:c>
      <x:c r="G205" s="26" t="str">
        <x:v>remaining ACC / AI / Shared / SYSTEM</x:v>
      </x:c>
      <x:c r="H205" s="26" t="str">
        <x:v>ABSENT</x:v>
      </x:c>
      <x:c r="I205" s="26" t="str">
        <x:v>源码执行/验证</x:v>
      </x:c>
      <x:c r="J205" s="26" t="str">
        <x:v>独立验证 SH-06 的真实用户任务，从 App action 到 API/Permission/Canonical/Evidence/result/Return，不以“页面能渲染”作为完成。</x:v>
      </x:c>
      <x:c r="K205" s="26" t="str">
        <x:v>SH-06 Spec acceptance IDs；Flutter tests；backend tests；runtime/E2E harness；真实/隔离数据按 tier 使用。</x:v>
      </x:c>
      <x:c r="L205" s="26" t="str">
        <x:v>只补测试、测试辅助与明确 bug fix；若发现实现问题回修本 screen owner。</x:v>
      </x:c>
      <x:c r="M205" s="26" t="str">
        <x:v>禁止降低 assertion；禁止 screenshot 自证；禁止把 excluded/quarantine 当 PASS；禁止 fixture 代替 live claim。</x:v>
      </x:c>
      <x:c r="N205" s="26" t="str">
        <x:v>Widget/API/integration 至少全绿；关键 responsive widths；blocked/error/retry/Trace/Return；需要 live 的标为 LIVE_VERIFIED 或明确未验证。</x:v>
      </x:c>
      <x:c r="O205" s="26" t="str">
        <x:v>cd app &amp;&amp; flutter analyze &amp;&amp; flutter test ; python -m pytest tests/test_experience_runtime.py tests/test_experience_e2e_candidate.py -q tests/test_evidence_chain.py -q ; python scripts/audit_tools/ver ify_experience_authority_exclusive.py ; python scripts/audit_tools/verify_experience_anti_template.py --strict ; python scripts/audit_tools/verify_experience_screen_blueprints.py</x:v>
      </x:c>
    </x:row>
    <x:row r="206" ht="42" customHeight="1">
      <x:c r="A206" s="26" t="n">
        <x:v>212</x:v>
      </x:c>
      <x:c r="B206" s="26" t="n">
        <x:v>202</x:v>
      </x:c>
      <x:c r="C206" s="26" t="str">
        <x:v>SOL-201</x:v>
      </x:c>
      <x:c r="D206" s="26" t="str">
        <x:v>SOL</x:v>
      </x:c>
      <x:c r="E206" s="26" t="str">
        <x:v>Internal Beta Critical Journey 最终冻结</x:v>
      </x:c>
      <x:c r="F206" s="26" t="n">
        <x:v>15</x:v>
      </x:c>
      <x:c r="G206" s="26" t="str">
        <x:v>internal beta / clean clone / release</x:v>
      </x:c>
      <x:c r="H206" s="26" t="str">
        <x:v>BLOCKED</x:v>
      </x:c>
      <x:c r="I206" s="26" t="str">
        <x:v>产品判断/验收</x:v>
      </x:c>
      <x:c r="J206" s="26" t="str">
        <x:v>在全部核心 Screen slice 就绪后，冻结 beta 的真实关键旅程、设备、数据源、账号/媒体 session、失败恢复与验收证据。</x:v>
      </x:c>
      <x:c r="K206" s="26" t="str">
        <x:v>所有已 ACCEPTED screen specs；54 gaps 最新状态；Tier C 前置。</x:v>
      </x:c>
      <x:c r="L206" s="26" t="str">
        <x:v>只做 beta 范围/验收决策。</x:v>
      </x:c>
      <x:c r="M206" s="26" t="str">
        <x:v>禁止新增功能补“体验完整感”；禁止把 post-beta ACC wall 拉回前置。</x:v>
      </x:c>
      <x:c r="N206" s="26" t="str">
        <x:v>每条 journey 有 start state、真实 source、action、Evidence、result、return/evaluation、failure/recovery、device。</x:v>
      </x:c>
      <x:c r="O206" s="26" t="str">
        <x:v>逐条映射到已接受 Screen 与 tests；UNKNOWN 不能进入 beta critical path。</x:v>
      </x:c>
    </x:row>
    <x:row r="207" ht="42" customHeight="1">
      <x:c r="A207" s="26" t="n">
        <x:v>213</x:v>
      </x:c>
      <x:c r="B207" s="26" t="n">
        <x:v>203</x:v>
      </x:c>
      <x:c r="C207" s="26" t="str">
        <x:v>LUNA-202</x:v>
      </x:c>
      <x:c r="D207" s="26" t="str">
        <x:v>LUNA</x:v>
      </x:c>
      <x:c r="E207" s="26" t="str">
        <x:v>CTH Source→Evidence→Event→Case→Decision→Action 闭环</x:v>
      </x:c>
      <x:c r="F207" s="26" t="n">
        <x:v>15</x:v>
      </x:c>
      <x:c r="G207" s="26" t="str">
        <x:v>internal beta / clean clone / release</x:v>
      </x:c>
      <x:c r="H207" s="26" t="str">
        <x:v>BLOCKED</x:v>
      </x:c>
      <x:c r="I207" s="26" t="str">
        <x:v>源码执行/验证</x:v>
      </x:c>
      <x:c r="J207" s="26" t="str">
        <x:v>用真实允许数据跑 CTH critical journey，证明 Subject scope、Evidence trace、Case/Decision/Action 与 Return/Evaluation。</x:v>
      </x:c>
      <x:c r="K207" s="26" t="str">
        <x:v>SOL beta journey；CTH screens；collector/evidence/permission/runtime。</x:v>
      </x:c>
      <x:c r="L207" s="26" t="str">
        <x:v>只修 CTH journey 中真实断点。</x:v>
      </x:c>
      <x:c r="M207" s="26" t="str">
        <x:v>禁止临时 mock；禁止跳过 Decision 缺口；禁止把 note/event 当 Case。</x:v>
      </x:c>
      <x:c r="N207" s="26" t="str">
        <x:v>入口到结果完整；失败/权限拒绝/离线恢复可重放；Evidence 可回源。</x:v>
      </x:c>
      <x:c r="O207" s="26" t="str">
        <x:v>python -m pytest tests/test_dual_domain_e2e.py tests/test_experience_e2e_candidate.py tests/test_evidence_chain.py -q；再跑授权 runtime E2E。</x:v>
      </x:c>
    </x:row>
    <x:row r="208" ht="42" customHeight="1">
      <x:c r="A208" s="26" t="n">
        <x:v>214</x:v>
      </x:c>
      <x:c r="B208" s="26" t="n">
        <x:v>204</x:v>
      </x:c>
      <x:c r="C208" s="26" t="str">
        <x:v>LUNA-203</x:v>
      </x:c>
      <x:c r="D208" s="26" t="str">
        <x:v>LUNA</x:v>
      </x:c>
      <x:c r="E208" s="26" t="str">
        <x:v>BMP BrandFocus→Market→Content/Creator→Campaign→Evaluation 闭环</x:v>
      </x:c>
      <x:c r="F208" s="26" t="n">
        <x:v>15</x:v>
      </x:c>
      <x:c r="G208" s="26" t="str">
        <x:v>internal beta / clean clone / release</x:v>
      </x:c>
      <x:c r="H208" s="26" t="str">
        <x:v>BLOCKED</x:v>
      </x:c>
      <x:c r="I208" s="26" t="str">
        <x:v>源码执行/验证</x:v>
      </x:c>
      <x:c r="J208" s="26" t="str">
        <x:v>跑 BMP 核心旅程，证明 BrandFocus、市场/传播/创作者/内容/Campaign/评估的 scope 与 Evidence。</x:v>
      </x:c>
      <x:c r="K208" s="26" t="str">
        <x:v>BMP screens；BrandFocus；Evidence；campaign/evaluation owners。</x:v>
      </x:c>
      <x:c r="L208" s="26" t="str">
        <x:v>只修 BMP journey 断点。</x:v>
      </x:c>
      <x:c r="M208" s="26" t="str">
        <x:v>禁止产品级 aggregate 伪装品牌；禁止 CTH 风险重标 BMP；禁止 unsupported reach/ROI。</x:v>
      </x:c>
      <x:c r="N208" s="26" t="str">
        <x:v>BrandFocus 全程保持；每个分析可 Trace；Campaign result 与 baseline 分开；evaluation 有 lineage。</x:v>
      </x:c>
      <x:c r="O208" s="26" t="str">
        <x:v>python -m pytest tests/test_bmp_truth_isolation.py tests/test_dual_domain_e2e.py tests/test_evaluation_system.py -q；再跑授权 runtime E2E。</x:v>
      </x:c>
    </x:row>
    <x:row r="209" ht="42" customHeight="1">
      <x:c r="A209" s="26" t="n">
        <x:v>215</x:v>
      </x:c>
      <x:c r="B209" s="26" t="n">
        <x:v>205</x:v>
      </x:c>
      <x:c r="C209" s="26" t="str">
        <x:v>LUNA-204</x:v>
      </x:c>
      <x:c r="D209" s="26" t="str">
        <x:v>LUNA</x:v>
      </x:c>
      <x:c r="E209" s="26" t="str">
        <x:v>AI Intent→Task→Evidence→Artifact→Action→Evaluation 闭环</x:v>
      </x:c>
      <x:c r="F209" s="26" t="n">
        <x:v>15</x:v>
      </x:c>
      <x:c r="G209" s="26" t="str">
        <x:v>internal beta / clean clone / release</x:v>
      </x:c>
      <x:c r="H209" s="26" t="str">
        <x:v>BLOCKED</x:v>
      </x:c>
      <x:c r="I209" s="26" t="str">
        <x:v>源码执行/验证</x:v>
      </x:c>
      <x:c r="J209" s="26" t="str">
        <x:v>用真实 AI Gateway/Agent runtime 跑 artifact-first 流程；不得用 chat UI 替代。</x:v>
      </x:c>
      <x:c r="K209" s="26" t="str">
        <x:v>AI-01~05；Shared Evidence；SkillRegistry；Permission/effect。</x:v>
      </x:c>
      <x:c r="L209" s="26" t="str">
        <x:v>只修 AI/Agent journey 断点。</x:v>
      </x:c>
      <x:c r="M209" s="26" t="str">
        <x:v>禁止 fake thinking/progress/tool usage/confidence；禁止 AI 写入 Production Truth；禁止 conversation history 冒充 Evidence。</x:v>
      </x:c>
      <x:c r="N209" s="26" t="str">
        <x:v>task 有 execution id、real stage、Evidence、artifact、gated action、evaluation；provider fallback 可观察。</x:v>
      </x:c>
      <x:c r="O209" s="26" t="str">
        <x:v>python -m pytest tests/test_ai_gateway.py tests/test_ai_task_engine.py tests/test_ai_intent_permission.py tests/test_ai_evaluation.py -q；live provider probe。</x:v>
      </x:c>
    </x:row>
    <x:row r="210" ht="42" customHeight="1">
      <x:c r="A210" s="26" t="n">
        <x:v>216</x:v>
      </x:c>
      <x:c r="B210" s="26" t="n">
        <x:v>206</x:v>
      </x:c>
      <x:c r="C210" s="26" t="str">
        <x:v>LUNA-205</x:v>
      </x:c>
      <x:c r="D210" s="26" t="str">
        <x:v>LUNA</x:v>
      </x:c>
      <x:c r="E210" s="26" t="str">
        <x:v>Shared Creation / Report / Export 闭环</x:v>
      </x:c>
      <x:c r="F210" s="26" t="n">
        <x:v>15</x:v>
      </x:c>
      <x:c r="G210" s="26" t="str">
        <x:v>internal beta / clean clone / release</x:v>
      </x:c>
      <x:c r="H210" s="26" t="str">
        <x:v>BLOCKED</x:v>
      </x:c>
      <x:c r="I210" s="26" t="str">
        <x:v>源码执行/验证</x:v>
      </x:c>
      <x:c r="J210" s="26" t="str">
        <x:v>证明 brief/evidence→artifact→review/approval→export 与 lineage；publish 在无真实 publisher 时保持 blocked。</x:v>
      </x:c>
      <x:c r="K210" s="26" t="str">
        <x:v>SH screens；reporting/evidence/effect fence。</x:v>
      </x:c>
      <x:c r="L210" s="26" t="str">
        <x:v>只修 Shared journey。</x:v>
      </x:c>
      <x:c r="M210" s="26" t="str">
        <x:v>禁止 draft=published；禁止 global Evidence；禁止 unsupported format 假成功。</x:v>
      </x:c>
      <x:c r="N210" s="26" t="str">
        <x:v>至少一个真实 artifact 与一个 audited export 完成；失败/blocked 状态诚实。</x:v>
      </x:c>
      <x:c r="O210" s="26" t="str">
        <x:v>python -m pytest tests/test_content_generation_parent_evidence.py tests/test_evidence_export.py tests/test_daily_report_redline.py -q；runtime export acceptance。</x:v>
      </x:c>
    </x:row>
    <x:row r="211" ht="42" customHeight="1">
      <x:c r="A211" s="26" t="n">
        <x:v>217</x:v>
      </x:c>
      <x:c r="B211" s="26" t="n">
        <x:v>207</x:v>
      </x:c>
      <x:c r="C211" s="26" t="str">
        <x:v>LUNA-206</x:v>
      </x:c>
      <x:c r="D211" s="26" t="str">
        <x:v>LUNA</x:v>
      </x:c>
      <x:c r="E211" s="26" t="str">
        <x:v>SYSTEM 故障→诊断→恢复→Return 闭环</x:v>
      </x:c>
      <x:c r="F211" s="26" t="n">
        <x:v>15</x:v>
      </x:c>
      <x:c r="G211" s="26" t="str">
        <x:v>internal beta / clean clone / release</x:v>
      </x:c>
      <x:c r="H211" s="26" t="str">
        <x:v>BLOCKED</x:v>
      </x:c>
      <x:c r="I211" s="26" t="str">
        <x:v>源码执行/验证</x:v>
      </x:c>
      <x:c r="J211" s="26" t="str">
        <x:v>制造受控可恢复故障，证明 runtime/collector/browser/db/logs 的诊断、Permission、恢复与状态回归。</x:v>
      </x:c>
      <x:c r="K211" s="26" t="str">
        <x:v>SYS screens；fault injection/recovery tests。</x:v>
      </x:c>
      <x:c r="L211" s="26" t="str">
        <x:v>仅测试环境/隔离 runtime。</x:v>
      </x:c>
      <x:c r="M211" s="26" t="str">
        <x:v>禁止碰真实生产数据；禁止模拟成功；禁止 recovery 绕 permission/effect。</x:v>
      </x:c>
      <x:c r="N211" s="26" t="str">
        <x:v>故障被检测、定位、恢复；用户回到原任务；audit/log 完整。</x:v>
      </x:c>
      <x:c r="O211" s="26" t="str">
        <x:v>python -m pytest tests/test_browser_failure_recovery.py tests/test_auto_recovery.py tests/test_dlq_replay.py tests/test_p2_fault_injection.py -q</x:v>
      </x:c>
    </x:row>
    <x:row r="212" ht="42" customHeight="1">
      <x:c r="A212" s="26" t="n">
        <x:v>218</x:v>
      </x:c>
      <x:c r="B212" s="26" t="n">
        <x:v>208</x:v>
      </x:c>
      <x:c r="C212" s="26" t="str">
        <x:v>LUNA-207</x:v>
      </x:c>
      <x:c r="D212" s="26" t="str">
        <x:v>LUNA</x:v>
      </x:c>
      <x:c r="E212" s="26" t="str">
        <x:v>XHS/RedNote Cookie Session LIVE 验收</x:v>
      </x:c>
      <x:c r="F212" s="26" t="n">
        <x:v>15</x:v>
      </x:c>
      <x:c r="G212" s="26" t="str">
        <x:v>internal beta / clean clone / release</x:v>
      </x:c>
      <x:c r="H212" s="26" t="str">
        <x:v>BLOCKED</x:v>
      </x:c>
      <x:c r="I212" s="26" t="str">
        <x:v>源码执行/验证</x:v>
      </x:c>
      <x:c r="J212" s="26" t="str">
        <x:v>在授权本地环境验证 media Cookie/session + HK collector 的真实 collection→Evidence→Canonical，不泄露凭据。</x:v>
      </x:c>
      <x:c r="K212" s="26" t="str">
        <x:v>9223 XHS_RETINAUT；Cookie bridge；collector；Evidence。</x:v>
      </x:c>
      <x:c r="L212" s="26" t="str">
        <x:v>只读采集/允许范围；不提交 secret。</x:v>
      </x:c>
      <x:c r="M212" s="26" t="str">
        <x:v>禁止截图/日志泄露 cookie；禁止无授权写/发布；禁止 general browser 冒充 collector。</x:v>
      </x:c>
      <x:c r="N212" s="26" t="str">
        <x:v>session health、collection、provenance、Evidence、canonicalization、failure isolation 均有 live evidence。</x:v>
      </x:c>
      <x:c r="O212" s="26" t="str">
        <x:v>运行项目现有 Tier C browser/collector suites；记录 commit + runtime timestamp + source without secrets。</x:v>
      </x:c>
    </x:row>
    <x:row r="213" ht="42" customHeight="1">
      <x:c r="A213" s="26" t="n">
        <x:v>219</x:v>
      </x:c>
      <x:c r="B213" s="26" t="n">
        <x:v>209</x:v>
      </x:c>
      <x:c r="C213" s="26" t="str">
        <x:v>LUNA-208</x:v>
      </x:c>
      <x:c r="D213" s="26" t="str">
        <x:v>LUNA</x:v>
      </x:c>
      <x:c r="E213" s="26" t="str">
        <x:v>Offline / Partial / Stale / Permission-denied 全 App 回归</x:v>
      </x:c>
      <x:c r="F213" s="26" t="n">
        <x:v>15</x:v>
      </x:c>
      <x:c r="G213" s="26" t="str">
        <x:v>internal beta / clean clone / release</x:v>
      </x:c>
      <x:c r="H213" s="26" t="str">
        <x:v>BLOCKED</x:v>
      </x:c>
      <x:c r="I213" s="26" t="str">
        <x:v>源码执行/验证</x:v>
      </x:c>
      <x:c r="J213" s="26" t="str">
        <x:v>验证关键 journeys 在网络断开、部分数据、陈旧数据、403/401、collector offline 下不撒谎且可恢复。</x:v>
      </x:c>
      <x:c r="K213" s="26" t="str">
        <x:v>关键 screens/state registry；runtime fault controls。</x:v>
      </x:c>
      <x:c r="L213" s="26" t="str">
        <x:v>只改 state/recovery bug。</x:v>
      </x:c>
      <x:c r="M213" s="26" t="str">
        <x:v>禁止空态替代错误；禁止 missing→0；禁止 unknown→healthy。</x:v>
      </x:c>
      <x:c r="N213" s="26" t="str">
        <x:v>关键状态均有真实 UI + semantics + recovery；Return context 保持。</x:v>
      </x:c>
      <x:c r="O213" s="26" t="str">
        <x:v>cd app &amp;&amp; flutter test ; python -m pytest tests/test_cross_surface_consistency.py tests/test_adapter_resilience.py -q</x:v>
      </x:c>
    </x:row>
    <x:row r="214" ht="42" customHeight="1">
      <x:c r="A214" s="26" t="n">
        <x:v>220</x:v>
      </x:c>
      <x:c r="B214" s="26" t="n">
        <x:v>210</x:v>
      </x:c>
      <x:c r="C214" s="26" t="str">
        <x:v>LUNA-209</x:v>
      </x:c>
      <x:c r="D214" s="26" t="str">
        <x:v>LUNA</x:v>
      </x:c>
      <x:c r="E214" s="26" t="str">
        <x:v>Security / Permission / Effect Boundary Beta Gate</x:v>
      </x:c>
      <x:c r="F214" s="26" t="n">
        <x:v>15</x:v>
      </x:c>
      <x:c r="G214" s="26" t="str">
        <x:v>internal beta / clean clone / release</x:v>
      </x:c>
      <x:c r="H214" s="26" t="str">
        <x:v>BLOCKED</x:v>
      </x:c>
      <x:c r="I214" s="26" t="str">
        <x:v>源码执行/验证</x:v>
      </x:c>
      <x:c r="J214" s="26" t="str">
        <x:v>验证所有 consequential action 经过 Permission→Approval→Effect Fence，denied/pending 无副作用。</x:v>
      </x:c>
      <x:c r="K214" s="26" t="str">
        <x:v>security/permission/effect owners；write/export/publish/recovery actions。</x:v>
      </x:c>
      <x:c r="L214" s="26" t="str">
        <x:v>只修 security boundary 与 tests。</x:v>
      </x:c>
      <x:c r="M214" s="26" t="str">
        <x:v>禁止客户端授权；禁止 pending 产生 write；禁止 fake 200。</x:v>
      </x:c>
      <x:c r="N214" s="26" t="str">
        <x:v>权限矩阵、拒绝、审批、外部 effect audit 全通过；secret scan 无泄漏。</x:v>
      </x:c>
      <x:c r="O214" s="26" t="str">
        <x:v>python -m pytest tests/test_ai_permission_matrix.py tests/test_agent_security.py tests/test_browser_security.py tests/test_compliance_gate.py -q ; python security_scanner.py || true</x:v>
      </x:c>
    </x:row>
    <x:row r="215" ht="42" customHeight="1">
      <x:c r="A215" s="26" t="n">
        <x:v>221</x:v>
      </x:c>
      <x:c r="B215" s="26" t="n">
        <x:v>211</x:v>
      </x:c>
      <x:c r="C215" s="26" t="str">
        <x:v>LUNA-210</x:v>
      </x:c>
      <x:c r="D215" s="26" t="str">
        <x:v>LUNA</x:v>
      </x:c>
      <x:c r="E215" s="26" t="str">
        <x:v>DB Backup / Migration / Rollback Gate</x:v>
      </x:c>
      <x:c r="F215" s="26" t="n">
        <x:v>15</x:v>
      </x:c>
      <x:c r="G215" s="26" t="str">
        <x:v>internal beta / clean clone / release</x:v>
      </x:c>
      <x:c r="H215" s="26" t="str">
        <x:v>BLOCKED</x:v>
      </x:c>
      <x:c r="I215" s="26" t="str">
        <x:v>源码执行/验证</x:v>
      </x:c>
      <x:c r="J215" s="26" t="str">
        <x:v>用隔离 DB/production-candidate copy 验证 migration、backup、rollback、schema integrity，不修改受保护 production DB。</x:v>
      </x:c>
      <x:c r="K215" s="26" t="str">
        <x:v>Shared Database migrations；backup scripts；Tier C requirements。</x:v>
      </x:c>
      <x:c r="L215" s="26" t="str">
        <x:v>只在 temp/candidate DB。</x:v>
      </x:c>
      <x:c r="M215" s="26" t="str">
        <x:v>禁止对真实 production DB 做 repair/migration 试验；禁止版本号当数据完整。</x:v>
      </x:c>
      <x:c r="N215" s="26" t="str">
        <x:v>migrate/rollback/restore 可重复；canonical/Evidence 数据不丢；schema owner 唯一。</x:v>
      </x:c>
      <x:c r="O215" s="26" t="str">
        <x:v>python -m pytest tests/test_alembic_migration.py tests/test_backup_db.py tests/test_db_isolation_contract.py -q</x:v>
      </x:c>
    </x:row>
    <x:row r="216" ht="42" customHeight="1">
      <x:c r="A216" s="26" t="n">
        <x:v>222</x:v>
      </x:c>
      <x:c r="B216" s="26" t="n">
        <x:v>212</x:v>
      </x:c>
      <x:c r="C216" s="26" t="str">
        <x:v>LUNA-211</x:v>
      </x:c>
      <x:c r="D216" s="26" t="str">
        <x:v>LUNA</x:v>
      </x:c>
      <x:c r="E216" s="26" t="str">
        <x:v>Desktop 真实设备 Experience Gate</x:v>
      </x:c>
      <x:c r="F216" s="26" t="n">
        <x:v>15</x:v>
      </x:c>
      <x:c r="G216" s="26" t="str">
        <x:v>internal beta / clean clone / release</x:v>
      </x:c>
      <x:c r="H216" s="26" t="str">
        <x:v>BLOCKED</x:v>
      </x:c>
      <x:c r="I216" s="26" t="str">
        <x:v>源码执行/验证</x:v>
      </x:c>
      <x:c r="J216" s="26" t="str">
        <x:v>在 Windows/macOS 至少覆盖 1920/1440/1280/1024/768，跑 critical journeys、键盘/focus、resize、恢复。</x:v>
      </x:c>
      <x:c r="K216" s="26" t="str">
        <x:v>Flutter desktop builds；beta journeys。</x:v>
      </x:c>
      <x:c r="L216" s="26" t="str">
        <x:v>只修 desktop experience/platform bug。</x:v>
      </x:c>
      <x:c r="M216" s="26" t="str">
        <x:v>禁止只看 screenshot；禁止一个宽度 PASS 代表 desktop PASS。</x:v>
      </x:c>
      <x:c r="N216" s="26" t="str">
        <x:v>无 overflow/blocked controls；keyboard/focus/return/long text 正常；真实 API journey 完成。</x:v>
      </x:c>
      <x:c r="O216" s="26" t="str">
        <x:v>flutter build windows / macos（在对应 OS）；flutter test；记录 runtime captures 与 commit。</x:v>
      </x:c>
    </x:row>
    <x:row r="217" ht="42" customHeight="1">
      <x:c r="A217" s="26" t="n">
        <x:v>223</x:v>
      </x:c>
      <x:c r="B217" s="26" t="n">
        <x:v>213</x:v>
      </x:c>
      <x:c r="C217" s="26" t="str">
        <x:v>LUNA-212</x:v>
      </x:c>
      <x:c r="D217" s="26" t="str">
        <x:v>LUNA</x:v>
      </x:c>
      <x:c r="E217" s="26" t="str">
        <x:v>Mobile 真实设备 Experience Gate</x:v>
      </x:c>
      <x:c r="F217" s="26" t="n">
        <x:v>15</x:v>
      </x:c>
      <x:c r="G217" s="26" t="str">
        <x:v>internal beta / clean clone / release</x:v>
      </x:c>
      <x:c r="H217" s="26" t="str">
        <x:v>BLOCKED</x:v>
      </x:c>
      <x:c r="I217" s="26" t="str">
        <x:v>源码执行/验证</x:v>
      </x:c>
      <x:c r="J217" s="26" t="str">
        <x:v>在 Android/iOS 至少覆盖 430/390/360，验证 touch、back、interrupt/resume、offline、长文本。</x:v>
      </x:c>
      <x:c r="K217" s="26" t="str">
        <x:v>Flutter mobile builds；beta journeys。</x:v>
      </x:c>
      <x:c r="L217" s="26" t="str">
        <x:v>只修 mobile recomposition/platform bug。</x:v>
      </x:c>
      <x:c r="M217" s="26" t="str">
        <x:v>禁止 desktop shrink；禁止依赖 hover；禁止小于 touch target。</x:v>
      </x:c>
      <x:c r="N217" s="26" t="str">
        <x:v>critical journey 在真实设备完成；返回/恢复正确；无横向溢出。</x:v>
      </x:c>
      <x:c r="O217" s="26" t="str">
        <x:v>flutter build apk / ios（对应环境）；flutter test；记录 device/runtime evidence。</x:v>
      </x:c>
    </x:row>
    <x:row r="218" ht="42" customHeight="1">
      <x:c r="A218" s="26" t="n">
        <x:v>224</x:v>
      </x:c>
      <x:c r="B218" s="26" t="n">
        <x:v>214</x:v>
      </x:c>
      <x:c r="C218" s="26" t="str">
        <x:v>LUNA-213</x:v>
      </x:c>
      <x:c r="D218" s="26" t="str">
        <x:v>LUNA</x:v>
      </x:c>
      <x:c r="E218" s="26" t="str">
        <x:v>Accessibility + Reduced Motion Gate</x:v>
      </x:c>
      <x:c r="F218" s="26" t="n">
        <x:v>15</x:v>
      </x:c>
      <x:c r="G218" s="26" t="str">
        <x:v>internal beta / clean clone / release</x:v>
      </x:c>
      <x:c r="H218" s="26" t="str">
        <x:v>BLOCKED</x:v>
      </x:c>
      <x:c r="I218" s="26" t="str">
        <x:v>源码执行/验证</x:v>
      </x:c>
      <x:c r="J218" s="26" t="str">
        <x:v>全关键 screen 验证 keyboard/focus order、screen reader semantics、contrast、touch target、reduced motion。</x:v>
      </x:c>
      <x:c r="K218" s="26" t="str">
        <x:v>Experience Constitution；Flutter semantics tests。</x:v>
      </x:c>
      <x:c r="L218" s="26" t="str">
        <x:v>只修 accessibility/motion。</x:v>
      </x:c>
      <x:c r="M218" s="26" t="str">
        <x:v>禁止只靠颜色；禁止动画阻塞 readiness；禁止 focus trap。</x:v>
      </x:c>
      <x:c r="N218" s="26" t="str">
        <x:v>关键操作无鼠标可完成；动态状态有 announcement；reduced motion 不丢信息。</x:v>
      </x:c>
      <x:c r="O218" s="26" t="str">
        <x:v>cd app &amp;&amp; flutter test ; 人工/平台 accessibility 检查记录到 acceptance evidence。</x:v>
      </x:c>
    </x:row>
    <x:row r="219" ht="42" customHeight="1">
      <x:c r="A219" s="26" t="n">
        <x:v>225</x:v>
      </x:c>
      <x:c r="B219" s="26" t="n">
        <x:v>215</x:v>
      </x:c>
      <x:c r="C219" s="26" t="str">
        <x:v>LUNA-214</x:v>
      </x:c>
      <x:c r="D219" s="26" t="str">
        <x:v>LUNA</x:v>
      </x:c>
      <x:c r="E219" s="26" t="str">
        <x:v>Performance / Resource / Long-run Stability Gate</x:v>
      </x:c>
      <x:c r="F219" s="26" t="n">
        <x:v>15</x:v>
      </x:c>
      <x:c r="G219" s="26" t="str">
        <x:v>internal beta / clean clone / release</x:v>
      </x:c>
      <x:c r="H219" s="26" t="str">
        <x:v>BLOCKED</x:v>
      </x:c>
      <x:c r="I219" s="26" t="str">
        <x:v>源码执行/验证</x:v>
      </x:c>
      <x:c r="J219" s="26" t="str">
        <x:v>验证 App+Core+collector 长时间运行不出现明显内存/任务堆积/重复 supervisor/队列失控。</x:v>
      </x:c>
      <x:c r="K219" s="26" t="str">
        <x:v>engineering metrics；runtime guardian；collector/task engine。</x:v>
      </x:c>
      <x:c r="L219" s="26" t="str">
        <x:v>只修 performance/stability root cause。</x:v>
      </x:c>
      <x:c r="M219" s="26" t="str">
        <x:v>禁止用隐藏数据/降采集质量换“稳定”；禁止吞异常。</x:v>
      </x:c>
      <x:c r="N219" s="26" t="str">
        <x:v>长跑期间 health 可观测；无重复 runtime；queue/retry/backoff 在界限内。</x:v>
      </x:c>
      <x:c r="O219" s="26" t="str">
        <x:v>python -m pytest tests/test_dual_run_stability.py tests/test_engineering_metrics.py tests/test_performance_isolation.py -q；授权 soak run。</x:v>
      </x:c>
    </x:row>
    <x:row r="220" ht="42" customHeight="1">
      <x:c r="A220" s="26" t="n">
        <x:v>226</x:v>
      </x:c>
      <x:c r="B220" s="26" t="n">
        <x:v>216</x:v>
      </x:c>
      <x:c r="C220" s="26" t="str">
        <x:v>LUNA-215</x:v>
      </x:c>
      <x:c r="D220" s="26" t="str">
        <x:v>LUNA</x:v>
      </x:c>
      <x:c r="E220" s="26" t="str">
        <x:v>Tier A/B Clean Checkout Full Gate</x:v>
      </x:c>
      <x:c r="F220" s="26" t="n">
        <x:v>15</x:v>
      </x:c>
      <x:c r="G220" s="26" t="str">
        <x:v>internal beta / clean clone / release</x:v>
      </x:c>
      <x:c r="H220" s="26" t="str">
        <x:v>BLOCKED</x:v>
      </x:c>
      <x:c r="I220" s="26" t="str">
        <x:v>源码执行/验证</x:v>
      </x:c>
      <x:c r="J220" s="26" t="str">
        <x:v>在干净 clone 运行所有 blocking repository/hermetic tests 和 Flutter gate，证明不是开发机偶然通过。</x:v>
      </x:c>
      <x:c r="K220" s="26" t="str">
        <x:v>CI workflows；CI_TEST_TIERS；clean clone。</x:v>
      </x:c>
      <x:c r="L220" s="26" t="str">
        <x:v>只修 reproducibility。</x:v>
      </x:c>
      <x:c r="M220" s="26" t="str">
        <x:v>禁止依赖 cookie/prod DB/fixed path；禁止 quarantine 掩错。</x:v>
      </x:c>
      <x:c r="N220" s="26" t="str">
        <x:v>Product Gate + App Gate 对当前 commit 真实 GREEN。</x:v>
      </x:c>
      <x:c r="O220" s="26" t="str">
        <x:v>按 .github/workflows/platform-verify.yml 与 app-verify.yml 本地等价执行，并 workflow_dispatch current main。</x:v>
      </x:c>
    </x:row>
    <x:row r="221" ht="42" customHeight="1">
      <x:c r="A221" s="26" t="n">
        <x:v>227</x:v>
      </x:c>
      <x:c r="B221" s="26" t="n">
        <x:v>217</x:v>
      </x:c>
      <x:c r="C221" s="26" t="str">
        <x:v>LUNA-216</x:v>
      </x:c>
      <x:c r="D221" s="26" t="str">
        <x:v>LUNA</x:v>
      </x:c>
      <x:c r="E221" s="26" t="str">
        <x:v>Tier C Production/Live Acceptance Gate</x:v>
      </x:c>
      <x:c r="F221" s="26" t="n">
        <x:v>15</x:v>
      </x:c>
      <x:c r="G221" s="26" t="str">
        <x:v>internal beta / clean clone / release</x:v>
      </x:c>
      <x:c r="H221" s="26" t="str">
        <x:v>BLOCKED</x:v>
      </x:c>
      <x:c r="I221" s="26" t="str">
        <x:v>源码执行/验证</x:v>
      </x:c>
      <x:c r="J221" s="26" t="str">
        <x:v>在满足 prerequisites 的授权环境运行 environment/live suites，补齐 A/B 无法证明的 browser/session/real data/recovery。</x:v>
      </x:c>
      <x:c r="K221" s="26" t="str">
        <x:v>tests/ci_environment_tests.txt；candidate DB；media sessions；devices。</x:v>
      </x:c>
      <x:c r="L221" s="26" t="str">
        <x:v>只在授权环境。</x:v>
      </x:c>
      <x:c r="M221" s="26" t="str">
        <x:v>禁止把 excluded 当 PASS；禁止泄露 credentials。</x:v>
      </x:c>
      <x:c r="N221" s="26" t="str">
        <x:v>所有 beta critical prerequisites 有 dated live evidence；未跑项明确 blocker。</x:v>
      </x:c>
      <x:c r="O221" s="26" t="str">
        <x:v>按 tests/ci_environment_tests.txt 逐项运行并记录结果。</x:v>
      </x:c>
    </x:row>
    <x:row r="222" ht="42" customHeight="1">
      <x:c r="A222" s="26" t="n">
        <x:v>228</x:v>
      </x:c>
      <x:c r="B222" s="26" t="n">
        <x:v>218</x:v>
      </x:c>
      <x:c r="C222" s="26" t="str">
        <x:v>SOL-217</x:v>
      </x:c>
      <x:c r="D222" s="26" t="str">
        <x:v>SOL</x:v>
      </x:c>
      <x:c r="E222" s="26" t="str">
        <x:v>Internal Beta GO / NO-GO Review</x:v>
      </x:c>
      <x:c r="F222" s="26" t="n">
        <x:v>15</x:v>
      </x:c>
      <x:c r="G222" s="26" t="str">
        <x:v>internal beta / clean clone / release</x:v>
      </x:c>
      <x:c r="H222" s="26" t="str">
        <x:v>BLOCKED</x:v>
      </x:c>
      <x:c r="I222" s="26" t="str">
        <x:v>产品判断/验收</x:v>
      </x:c>
      <x:c r="J222" s="26" t="str">
        <x:v>根据 current commit 的 ACCEPTED screens、critical journeys、Tier A/B/C、security/recovery 证据决定是否进入 internal beta。</x:v>
      </x:c>
      <x:c r="K222" s="26" t="str">
        <x:v>所有 P7 evidence；open blockers；release semantics。</x:v>
      </x:c>
      <x:c r="L222" s="26" t="str">
        <x:v>只做产品/风险判断。</x:v>
      </x:c>
      <x:c r="M222" s="26" t="str">
        <x:v>禁止把 TESTED 当 VERIFIED/RELEASED；禁止忽略 P0/P1 blocker。</x:v>
      </x:c>
      <x:c r="N222" s="26" t="str">
        <x:v>输出 GO 或 NO-GO + 明确 blockers；无排名式模糊语言。</x:v>
      </x:c>
      <x:c r="O222" s="26" t="str">
        <x:v>逐项核对 IMPLEMENTED/TESTED/VERIFIED/RELEASED/OPERATING 定义。</x:v>
      </x:c>
    </x:row>
    <x:row r="223" ht="42" customHeight="1">
      <x:c r="A223" s="26" t="n">
        <x:v>229</x:v>
      </x:c>
      <x:c r="B223" s="26" t="n">
        <x:v>219</x:v>
      </x:c>
      <x:c r="C223" s="26" t="str">
        <x:v>SOL-218</x:v>
      </x:c>
      <x:c r="D223" s="26" t="str">
        <x:v>SOL</x:v>
      </x:c>
      <x:c r="E223" s="26" t="str">
        <x:v>Post-beta Account / Access Product Decision</x:v>
      </x:c>
      <x:c r="F223" s="26" t="n">
        <x:v>15</x:v>
      </x:c>
      <x:c r="G223" s="26" t="str">
        <x:v>internal beta / clean clone / release</x:v>
      </x:c>
      <x:c r="H223" s="26" t="str">
        <x:v>BLOCKED</x:v>
      </x:c>
      <x:c r="I223" s="26" t="str">
        <x:v>产品判断/验收</x:v>
      </x:c>
      <x:c r="J223" s="26" t="str">
        <x:v>在 internal beta 后再决定 ACC-01~04 的正式 LUMENIS account/SSO/access recovery 产品范围与 rollout。</x:v>
      </x:c>
      <x:c r="K223" s="26" t="str">
        <x:v>ACC specs；beta identity evidence；组织/安全需求。</x:v>
      </x:c>
      <x:c r="L223" s="26" t="str">
        <x:v>只做正式账户产品决策。</x:v>
      </x:c>
      <x:c r="M223" s="26" t="str">
        <x:v>禁止倒灌影响已验证 media Cookie/session；禁止凭空新增 provider。</x:v>
      </x:c>
      <x:c r="N223" s="26" t="str">
        <x:v>Account scope、SSO、roles/recovery/permission contract 被批准或明确后置。</x:v>
      </x:c>
      <x:c r="O223" s="26" t="str">
        <x:v>review ACC acceptance + security evidence。</x:v>
      </x:c>
    </x:row>
    <x:row r="224" ht="42" customHeight="1">
      <x:c r="A224" s="26" t="n">
        <x:v>230</x:v>
      </x:c>
      <x:c r="B224" s="26" t="n">
        <x:v>220</x:v>
      </x:c>
      <x:c r="C224" s="26" t="str">
        <x:v>LUNA-219</x:v>
      </x:c>
      <x:c r="D224" s="26" t="str">
        <x:v>LUNA</x:v>
      </x:c>
      <x:c r="E224" s="26" t="str">
        <x:v>Post-beta ACC-01~04 Production Binding / E2E</x:v>
      </x:c>
      <x:c r="F224" s="26" t="n">
        <x:v>15</x:v>
      </x:c>
      <x:c r="G224" s="26" t="str">
        <x:v>internal beta / clean clone / release</x:v>
      </x:c>
      <x:c r="H224" s="26" t="str">
        <x:v>BLOCKED</x:v>
      </x:c>
      <x:c r="I224" s="26" t="str">
        <x:v>源码执行/验证</x:v>
      </x:c>
      <x:c r="J224" s="26" t="str">
        <x:v>按 Sol 决策把 ACC screens 从 fail-closed/selection-only 完成到真实 product account/access flows，并跑 E2E。</x:v>
      </x:c>
      <x:c r="K224" s="26" t="str">
        <x:v>Approved ACC product decision；ACC screen specs。</x:v>
      </x:c>
      <x:c r="L224" s="26" t="str">
        <x:v>只改 Account/Auth/ACC App slices/tests。</x:v>
      </x:c>
      <x:c r="M224" s="26" t="str">
        <x:v>禁止替换 media auth；禁止 account 登录自动等于业务权限。</x:v>
      </x:c>
      <x:c r="N224" s="26" t="str">
        <x:v>ACC flows 实际可用；授权 context 切换与恢复真实；不破坏 pre-beta verified workflows。</x:v>
      </x:c>
      <x:c r="O224" s="26" t="str">
        <x:v>Flutter ACC tests + auth/permission integration + runtime E2E。</x:v>
      </x:c>
    </x:row>
    <x:row r="225" ht="42" customHeight="1">
      <x:c r="A225" s="26" t="n">
        <x:v>231</x:v>
      </x:c>
      <x:c r="B225" s="26" t="n">
        <x:v>221</x:v>
      </x:c>
      <x:c r="C225" s="26" t="str">
        <x:v>LUNA-220</x:v>
      </x:c>
      <x:c r="D225" s="26" t="str">
        <x:v>LUNA</x:v>
      </x:c>
      <x:c r="E225" s="26" t="str">
        <x:v>Compatibility Caller 最终吸收与删除</x:v>
      </x:c>
      <x:c r="F225" s="26" t="n">
        <x:v>15</x:v>
      </x:c>
      <x:c r="G225" s="26" t="str">
        <x:v>internal beta / clean clone / release</x:v>
      </x:c>
      <x:c r="H225" s="26" t="str">
        <x:v>BLOCKED</x:v>
      </x:c>
      <x:c r="I225" s="26" t="str">
        <x:v>源码执行/验证</x:v>
      </x:c>
      <x:c r="J225" s="26" t="str">
        <x:v>依据 LUNA-004/SOL-005 矩阵，在所有能力已迁移/验收后删除明确 redundant compatibility callers/legacy paths。</x:v>
      </x:c>
      <x:c r="K225" s="26" t="str">
        <x:v>owner matrix；current callers；tests；accepted screens/journeys。</x:v>
      </x:c>
      <x:c r="L225" s="26" t="str">
        <x:v>每次一个 owner family，coherent commit。</x:v>
      </x:c>
      <x:c r="M225" s="26" t="str">
        <x:v>禁止大扫除；禁止删唯一 behavior；禁止删 historical Git provenance 需要的 current contract。</x:v>
      </x:c>
      <x:c r="N225" s="26" t="str">
        <x:v>root compatibility 显著下降；所有删除有 replacement owner + regression；Only-One guards PASS。</x:v>
      </x:c>
      <x:c r="O225" s="26" t="str">
        <x:v>rg import/callers；affected tests；full Tier A/B at convergence。</x:v>
      </x:c>
    </x:row>
    <x:row r="226" ht="42" customHeight="1">
      <x:c r="A226" s="26" t="n">
        <x:v>232</x:v>
      </x:c>
      <x:c r="B226" s="26" t="n">
        <x:v>222</x:v>
      </x:c>
      <x:c r="C226" s="26" t="str">
        <x:v>LUNA-221</x:v>
      </x:c>
      <x:c r="D226" s="26" t="str">
        <x:v>LUNA</x:v>
      </x:c>
      <x:c r="E226" s="26" t="str">
        <x:v>Documentation / Intelligence Library 去重与权威边界</x:v>
      </x:c>
      <x:c r="F226" s="26" t="n">
        <x:v>15</x:v>
      </x:c>
      <x:c r="G226" s="26" t="str">
        <x:v>internal beta / clean clone / release</x:v>
      </x:c>
      <x:c r="H226" s="26" t="str">
        <x:v>BLOCKED</x:v>
      </x:c>
      <x:c r="I226" s="26" t="str">
        <x:v>源码执行/验证</x:v>
      </x:c>
      <x:c r="J226" s="26" t="str">
        <x:v>把 docs/intelligence_library 中重复/历史材料标记为 provenance 或去重，确保只有 CURRENT Product/Experience authority 能驱动开发。</x:v>
      </x:c>
      <x:c r="K226" s="26" t="str">
        <x:v>docs/；intelligence_library/；00-GOVERNANCE authorities。</x:v>
      </x:c>
      <x:c r="L226" s="26" t="str">
        <x:v>只改文档/索引，不动 production semantics。</x:v>
      </x:c>
      <x:c r="M226" s="26" t="str">
        <x:v>禁止删除仍被 runtime/tool 读取的 research asset；禁止第二 design/product authority。</x:v>
      </x:c>
      <x:c r="N226" s="26" t="str">
        <x:v>重复文档有 canonical pointer 或清理；legacy Z-Brand 文档不再误导当前开发。</x:v>
      </x:c>
      <x:c r="O226" s="26" t="str">
        <x:v>python scripts/audit_tools/verify_experience_authority_exclusive.py ; python scripts/audit_tools/verify_codex_takeover_governance.py</x:v>
      </x:c>
    </x:row>
    <x:row r="227" ht="42" customHeight="1">
      <x:c r="A227" s="26" t="n">
        <x:v>233</x:v>
      </x:c>
      <x:c r="B227" s="26" t="n">
        <x:v>223</x:v>
      </x:c>
      <x:c r="C227" s="26" t="str">
        <x:v>LUNA-222</x:v>
      </x:c>
      <x:c r="D227" s="26" t="str">
        <x:v>LUNA</x:v>
      </x:c>
      <x:c r="E227" s="26" t="str">
        <x:v>Cross-platform Release Build Matrix</x:v>
      </x:c>
      <x:c r="F227" s="26" t="n">
        <x:v>15</x:v>
      </x:c>
      <x:c r="G227" s="26" t="str">
        <x:v>internal beta / clean clone / release</x:v>
      </x:c>
      <x:c r="H227" s="26" t="str">
        <x:v>BLOCKED</x:v>
      </x:c>
      <x:c r="I227" s="26" t="str">
        <x:v>源码执行/验证</x:v>
      </x:c>
      <x:c r="J227" s="26" t="str">
        <x:v>生成并验证 Windows/macOS/Linux/Android/iOS candidate build，版本/签名/配置/网络权限/启动行为一致。</x:v>
      </x:c>
      <x:c r="K227" s="26" t="str">
        <x:v>Flutter app；release config；deployment docs。</x:v>
      </x:c>
      <x:c r="L227" s="26" t="str">
        <x:v>只改平台 packaging/config。</x:v>
      </x:c>
      <x:c r="M227" s="26" t="str">
        <x:v>禁止平台特例改变业务 truth；禁止打包 secret；禁止 public Web Experience。</x:v>
      </x:c>
      <x:c r="N227" s="26" t="str">
        <x:v>所有目标可 build；至少目标内测平台可安装/启动/连接 Core；版本号与 artifact trace 可追。</x:v>
      </x:c>
      <x:c r="O227" s="26" t="str">
        <x:v>flutter build windows/macos/linux/apk/ios（在支持 OS 执行）；记录 artifact checksum + commit。</x:v>
      </x:c>
    </x:row>
    <x:row r="228" ht="42" customHeight="1">
      <x:c r="A228" s="26" t="n">
        <x:v>234</x:v>
      </x:c>
      <x:c r="B228" s="26" t="n">
        <x:v>224</x:v>
      </x:c>
      <x:c r="C228" s="26" t="str">
        <x:v>LUNA-223</x:v>
      </x:c>
      <x:c r="D228" s="26" t="str">
        <x:v>LUNA</x:v>
      </x:c>
      <x:c r="E228" s="26" t="str">
        <x:v>Release Candidate Clean Clone + Fresh Data Smoke</x:v>
      </x:c>
      <x:c r="F228" s="26" t="n">
        <x:v>15</x:v>
      </x:c>
      <x:c r="G228" s="26" t="str">
        <x:v>internal beta / clean clone / release</x:v>
      </x:c>
      <x:c r="H228" s="26" t="str">
        <x:v>BLOCKED</x:v>
      </x:c>
      <x:c r="I228" s="26" t="str">
        <x:v>源码执行/验证</x:v>
      </x:c>
      <x:c r="J228" s="26" t="str">
        <x:v>从全新 clone 安装依赖、启动 Core/App、用新隔离/候选数据跑最短 critical smoke，排除本机残留依赖。</x:v>
      </x:c>
      <x:c r="K228" s="26" t="str">
        <x:v>release candidate SHA；documented setup。</x:v>
      </x:c>
      <x:c r="L228" s="26" t="str">
        <x:v>只修 setup/reproducibility。</x:v>
      </x:c>
      <x:c r="M228" s="26" t="str">
        <x:v>禁止复制旧 venv/cache/secret；禁止使用未记录机器状态。</x:v>
      </x:c>
      <x:c r="N228" s="26" t="str">
        <x:v>fresh clone 可复现；health、App launch、一个 CTH/BMP/AI smoke 成功或真实 fail closed。</x:v>
      </x:c>
      <x:c r="O228" s="26" t="str">
        <x:v>git clone fresh；install requirements/pub get；start production；run smoke + gates。</x:v>
      </x:c>
    </x:row>
    <x:row r="229" ht="42" customHeight="1">
      <x:c r="A229" s="26" t="n">
        <x:v>235</x:v>
      </x:c>
      <x:c r="B229" s="26" t="n">
        <x:v>225</x:v>
      </x:c>
      <x:c r="C229" s="26" t="str">
        <x:v>SOL-224</x:v>
      </x:c>
      <x:c r="D229" s="26" t="str">
        <x:v>SOL</x:v>
      </x:c>
      <x:c r="E229" s="26" t="str">
        <x:v>最终产品闭环验收</x:v>
      </x:c>
      <x:c r="F229" s="26" t="n">
        <x:v>15</x:v>
      </x:c>
      <x:c r="G229" s="26" t="str">
        <x:v>internal beta / clean clone / release</x:v>
      </x:c>
      <x:c r="H229" s="26" t="str">
        <x:v>BLOCKED</x:v>
      </x:c>
      <x:c r="I229" s="26" t="str">
        <x:v>产品判断/验收</x:v>
      </x:c>
      <x:c r="J229" s="26" t="str">
        <x:v>对 current release candidate 做最终产品级验收：Only One、App-only、44 screens 状态、critical journeys、truth/permission/evidence、平台、recovery、release evidence。</x:v>
      </x:c>
      <x:c r="K229" s="26" t="str">
        <x:v>全部任务结果；current repo/runtime；open blockers。</x:v>
      </x:c>
      <x:c r="L229" s="26" t="str">
        <x:v>只做最终验收/后续 backlog 决策。</x:v>
      </x:c>
      <x:c r="M229" s="26" t="str">
        <x:v>禁止用文档声明替代 runtime；禁止“基本完成”；禁止把未来能力写成已完成。</x:v>
      </x:c>
      <x:c r="N229" s="26" t="str">
        <x:v>明确列出 ACCEPTED/DEFERRED/BLOCKED；若 release，则每个声明都能追到当前 commit + evidence。</x:v>
      </x:c>
      <x:c r="O229" s="26" t="str">
        <x:v>重新 resolve origin/main；运行 blocking guards；抽查 critical E2E/Tier C artifacts。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16f28a7bde0c4c49"/>
  </x:tableParts>
</x:worksheet>
</file>

<file path=xl/worksheets/sheet6.xml><?xml version="1.0" encoding="utf-8"?>
<x:worksheet xmlns:x="http://schemas.openxmlformats.org/spreadsheetml/2006/main">
  <x:sheetPr>
    <x:tabColor rgb="FF2D7D70"/>
  </x:sheetPr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42" hidden="0" customWidth="1"/>
    <x:col min="5" max="5" width="20" hidden="0" customWidth="1"/>
    <x:col min="6" max="6" width="48" hidden="0" customWidth="1"/>
  </x:cols>
  <x:sheetData>
    <x:row r="1" ht="34" customHeight="1">
      <x:c r="A1" s="3" t="str">
        <x:v>审计证据索引</x:v>
      </x:c>
      <x:c r="B1" s="3"/>
      <x:c r="C1" s="3"/>
      <x:c r="D1" s="3"/>
      <x:c r="E1" s="3"/>
      <x:c r="F1" s="3"/>
    </x:row>
    <x:row r="2" ht="32" customHeight="1">
      <x:c r="A2" s="7" t="str">
        <x:v>仅记录本次实际读取/运行的证据；未运行项不写 PASS。</x:v>
      </x:c>
      <x:c r="B2" s="7"/>
      <x:c r="C2" s="7"/>
      <x:c r="D2" s="7"/>
      <x:c r="E2" s="7"/>
      <x:c r="F2" s="7"/>
    </x:row>
    <x:row r="4" ht="34" customHeight="1">
      <x:c r="A4" s="22" t="str">
        <x:v>领域</x:v>
      </x:c>
      <x:c r="B4" s="22" t="str">
        <x:v>对象</x:v>
      </x:c>
      <x:c r="C4" s="22" t="str">
        <x:v>结果</x:v>
      </x:c>
      <x:c r="D4" s="22" t="str">
        <x:v>方法</x:v>
      </x:c>
      <x:c r="E4" s="22" t="str">
        <x:v>状态</x:v>
      </x:c>
      <x:c r="F4" s="22" t="str">
        <x:v>边界/备注</x:v>
      </x:c>
    </x:row>
    <x:row r="5" ht="42" customHeight="1">
      <x:c r="A5" s="26" t="str">
        <x:v>Remote</x:v>
      </x:c>
      <x:c r="B5" s="26" t="str">
        <x:v>origin/main</x:v>
      </x:c>
      <x:c r="C5" s="26" t="str">
        <x:v>df15a99de6f5ffc3eb85e2c9924afb59c1c3c781</x:v>
      </x:c>
      <x:c r="D5" s="26" t="str">
        <x:v>git fetch / rev-parse / branch / log</x:v>
      </x:c>
      <x:c r="E5" s="26" t="str">
        <x:v>VERIFIED</x:v>
      </x:c>
      <x:c r="F5" s="26" t="str">
        <x:v>当前基线</x:v>
      </x:c>
    </x:row>
    <x:row r="6" ht="42" customHeight="1">
      <x:c r="A6" s="26" t="str">
        <x:v>Local</x:v>
      </x:c>
      <x:c r="B6" s="26" t="str">
        <x:v>HEAD/worktree</x:v>
      </x:c>
      <x:c r="C6" s="26" t="str">
        <x:v>df15a99de6f5ffc3eb85e2c9924afb59c1c3c781</x:v>
      </x:c>
      <x:c r="D6" s="26" t="str">
        <x:v>status / diff / locks / worktrees</x:v>
      </x:c>
      <x:c r="E6" s="26" t="str">
        <x:v>VERIFIED</x:v>
      </x:c>
      <x:c r="F6" s="26" t="str">
        <x:v>lumenis/system/collector/data/schedule_state.json (tracked in df15a99d by auto-watch; preserve/review)</x:v>
      </x:c>
    </x:row>
    <x:row r="7" ht="42" customHeight="1">
      <x:c r="A7" s="26" t="str">
        <x:v>Taskbook</x:v>
      </x:c>
      <x:c r="B7" s="26" t="str">
        <x:v>原 PDF</x:v>
      </x:c>
      <x:c r="C7" s="26" t="str">
        <x:v>235 pages / 225 tasks</x:v>
      </x:c>
      <x:c r="D7" s="26" t="str">
        <x:v>完整逐页文本提取和 Task parser</x:v>
      </x:c>
      <x:c r="E7" s="26" t="str">
        <x:v>VERIFIED</x:v>
      </x:c>
      <x:c r="F7" s="26" t="str">
        <x:v>10 协议页；54 SOL；171 LUNA</x:v>
      </x:c>
    </x:row>
    <x:row r="8" ht="42" customHeight="1">
      <x:c r="A8" s="26" t="str">
        <x:v>Source</x:v>
      </x:c>
      <x:c r="B8" s="26" t="str">
        <x:v>Python/Dart</x:v>
      </x:c>
      <x:c r="C8" s="26" t="str">
        <x:v>1017 / 44</x:v>
      </x:c>
      <x:c r="D8" s="26" t="str">
        <x:v>AST + route/table/screen scans</x:v>
      </x:c>
      <x:c r="E8" s="26" t="str">
        <x:v>VERIFIED</x:v>
      </x:c>
      <x:c r="F8" s="26" t="str">
        <x:v>800 route decorators; 147 table names</x:v>
      </x:c>
    </x:row>
    <x:row r="9" ht="42" customHeight="1">
      <x:c r="A9" s="26" t="str">
        <x:v>Contracts</x:v>
      </x:c>
      <x:c r="B9" s="26" t="str">
        <x:v>Experience</x:v>
      </x:c>
      <x:c r="C9" s="26" t="str">
        <x:v>44 screens / 54 bindings</x:v>
      </x:c>
      <x:c r="D9" s="26" t="str">
        <x:v>registry/spec/blueprint cross-check</x:v>
      </x:c>
      <x:c r="E9" s="26" t="str">
        <x:v>VERIFIED</x:v>
      </x:c>
      <x:c r="F9" s="26" t="str">
        <x:v>6 detailed specs; binding snapshot stale</x:v>
      </x:c>
    </x:row>
    <x:row r="10" ht="42" customHeight="1">
      <x:c r="A10" s="26" t="str">
        <x:v>Runtime</x:v>
      </x:c>
      <x:c r="B10" s="26" t="str">
        <x:v>Screen API</x:v>
      </x:c>
      <x:c r="C10" s="26" t="str">
        <x:v>44/44 HTTP 200</x:v>
      </x:c>
      <x:c r="D10" s="26" t="str">
        <x:v>live /api/experience/screen/&lt;ID&gt;</x:v>
      </x:c>
      <x:c r="E10" s="26" t="str">
        <x:v>LIVE_UNVERIFIED</x:v>
      </x:c>
      <x:c r="F10" s="26" t="str">
        <x:v>44/44 self-report bound=true; not business proof</x:v>
      </x:c>
    </x:row>
    <x:row r="11" ht="42" customHeight="1">
      <x:c r="A11" s="26" t="str">
        <x:v>Tests</x:v>
      </x:c>
      <x:c r="B11" s="26" t="str">
        <x:v>Governance</x:v>
      </x:c>
      <x:c r="C11" s="26" t="str">
        <x:v>6/6 PASS</x:v>
      </x:c>
      <x:c r="D11" s="26" t="str">
        <x:v>six validators</x:v>
      </x:c>
      <x:c r="E11" s="26" t="str">
        <x:v>TESTED</x:v>
      </x:c>
      <x:c r="F11" s="26" t="str">
        <x:v>current local checkout</x:v>
      </x:c>
    </x:row>
    <x:row r="12" ht="42" customHeight="1">
      <x:c r="A12" s="26" t="str">
        <x:v>Tests</x:v>
      </x:c>
      <x:c r="B12" s="26" t="str">
        <x:v>Skill/Agent/AI task</x:v>
      </x:c>
      <x:c r="C12" s="26" t="str">
        <x:v>107 PASS on isolated empty DB</x:v>
      </x:c>
      <x:c r="D12" s="26" t="str">
        <x:v>isolated empty SQLite</x:v>
      </x:c>
      <x:c r="E12" s="26" t="str">
        <x:v>TESTED</x:v>
      </x:c>
      <x:c r="F12" s="26" t="str">
        <x:v>production DB not touched</x:v>
      </x:c>
    </x:row>
    <x:row r="13" ht="42" customHeight="1">
      <x:c r="A13" s="26" t="str">
        <x:v>Tests</x:v>
      </x:c>
      <x:c r="B13" s="26" t="str">
        <x:v>Flutter</x:v>
      </x:c>
      <x:c r="C13" s="26" t="str">
        <x:v>79 PASS</x:v>
      </x:c>
      <x:c r="D13" s="26" t="str">
        <x:v>local Flutter SDK</x:v>
      </x:c>
      <x:c r="E13" s="26" t="str">
        <x:v>TESTED</x:v>
      </x:c>
      <x:c r="F13" s="26" t="str">
        <x:v>six current slices only</x:v>
      </x:c>
    </x:row>
    <x:row r="14" ht="42" customHeight="1">
      <x:c r="A14" s="26" t="str">
        <x:v>AI route</x:v>
      </x:c>
      <x:c r="B14" s="26" t="str">
        <x:v>Ollama</x:v>
      </x:c>
      <x:c r="C14" s="26" t="str">
        <x:v>OPERATING: qwen3:1.7b, qwen3:4b, bge-m3; auxiliary review completed</x:v>
      </x:c>
      <x:c r="D14" s="26" t="str">
        <x:v>live tags + bounded inference</x:v>
      </x:c>
      <x:c r="E14" s="26" t="str">
        <x:v>OPERATING</x:v>
      </x:c>
      <x:c r="F14" s="26" t="str">
        <x:v>Derivative only</x:v>
      </x:c>
    </x:row>
    <x:row r="15" ht="42" customHeight="1">
      <x:c r="A15" s="26" t="str">
        <x:v>AI route</x:v>
      </x:c>
      <x:c r="B15" s="26" t="str">
        <x:v>OpenCode</x:v>
      </x:c>
      <x:c r="C15" s="26" t="str">
        <x:v>BLOCKED: authentication failed</x:v>
      </x:c>
      <x:c r="D15" s="26" t="str">
        <x:v>bounded read-only invocation</x:v>
      </x:c>
      <x:c r="E15" s="26" t="str">
        <x:v>BLOCKED</x:v>
      </x:c>
      <x:c r="F15" s="26" t="str">
        <x:v>No credential printed</x:v>
      </x:c>
    </x:row>
    <x:row r="16" ht="42" customHeight="1">
      <x:c r="A16" s="26" t="str">
        <x:v>CI</x:v>
      </x:c>
      <x:c r="B16" s="26" t="str">
        <x:v>GitHub gates</x:v>
      </x:c>
      <x:c r="C16" s="26" t="str">
        <x:v>NOT RUN / latest attempted jobs failed before steps</x:v>
      </x:c>
      <x:c r="D16" s="26" t="str">
        <x:v>workflow/run inspection</x:v>
      </x:c>
      <x:c r="E16" s="26" t="str">
        <x:v>BLOCKED</x:v>
      </x:c>
      <x:c r="F16" s="26" t="str">
        <x:v>Cannot call green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2fc657f1bba42ed"/>
  </x:tableParts>
</x:worksheet>
</file>

<file path=xl/worksheets/sheet7.xml><?xml version="1.0" encoding="utf-8"?>
<x:worksheet xmlns:x="http://schemas.openxmlformats.org/spreadsheetml/2006/main">
  <x:sheetPr>
    <x:tabColor rgb="FF718096"/>
  </x:sheetPr>
  <x:sheetFormatPr defaultRowHeight="15"/>
  <x:cols>
    <x:col min="1" max="1" width="24" hidden="0" customWidth="1"/>
    <x:col min="2" max="2" width="72" hidden="0" customWidth="1"/>
    <x:col min="3" max="3" width="56" hidden="0" customWidth="1"/>
  </x:cols>
  <x:sheetData>
    <x:row r="1" ht="34" customHeight="1">
      <x:c r="A1" s="3" t="str">
        <x:v>状态口径与防伪规则</x:v>
      </x:c>
      <x:c r="B1" s="3"/>
      <x:c r="C1" s="3"/>
      <x:c r="D1" s="3"/>
    </x:row>
    <x:row r="2" ht="32" customHeight="1">
      <x:c r="A2" s="7" t="str">
        <x:v>任何一项都不得用更弱的证据升级状态。</x:v>
      </x:c>
      <x:c r="B2" s="7"/>
      <x:c r="C2" s="7"/>
      <x:c r="D2" s="7"/>
    </x:row>
    <x:row r="4" ht="34" customHeight="1">
      <x:c r="A4" s="22" t="str">
        <x:v>状态</x:v>
      </x:c>
      <x:c r="B4" s="22" t="str">
        <x:v>定义</x:v>
      </x:c>
      <x:c r="C4" s="22" t="str">
        <x:v>禁止误读</x:v>
      </x:c>
    </x:row>
    <x:row r="5" ht="42" customHeight="1">
      <x:c r="A5" s="26" t="str">
        <x:v>VERIFIED</x:v>
      </x:c>
      <x:c r="B5" s="26" t="str">
        <x:v>源码、调用、状态、测试、运行/业务证据在本范围一致</x:v>
      </x:c>
      <x:c r="C5" s="26" t="str">
        <x:v>仍不自动等于 RELEASED</x:v>
      </x:c>
    </x:row>
    <x:row r="6" ht="42" customHeight="1">
      <x:c r="A6" s="26" t="str">
        <x:v>IMPLEMENTED</x:v>
      </x:c>
      <x:c r="B6" s="26" t="str">
        <x:v>代码存在且进入当前 owner/caller</x:v>
      </x:c>
      <x:c r="C6" s="26" t="str">
        <x:v>未必测试或运行</x:v>
      </x:c>
    </x:row>
    <x:row r="7" ht="42" customHeight="1">
      <x:c r="A7" s="26" t="str">
        <x:v>TESTED</x:v>
      </x:c>
      <x:c r="B7" s="26" t="str">
        <x:v>范围内测试实际执行并通过</x:v>
      </x:c>
      <x:c r="C7" s="26" t="str">
        <x:v>未必 live / release</x:v>
      </x:c>
    </x:row>
    <x:row r="8" ht="42" customHeight="1">
      <x:c r="A8" s="26" t="str">
        <x:v>PARTIAL</x:v>
      </x:c>
      <x:c r="B8" s="26" t="str">
        <x:v>部分链路存在，但 owner/contract/surface/evidence/permission/acceptance 尚未闭合</x:v>
      </x:c>
      <x:c r="C8" s="26" t="str">
        <x:v>不能写完成</x:v>
      </x:c>
    </x:row>
    <x:row r="9" ht="42" customHeight="1">
      <x:c r="A9" s="26" t="str">
        <x:v>EXISTS_BUT_UNSCOPED</x:v>
      </x:c>
      <x:c r="B9" s="26" t="str">
        <x:v>源码/数据存在，但尚未被当前产品 owner/contract 接管</x:v>
      </x:c>
      <x:c r="C9" s="26" t="str">
        <x:v>先分类，禁止删除</x:v>
      </x:c>
    </x:row>
    <x:row r="10" ht="42" customHeight="1">
      <x:c r="A10" s="26" t="str">
        <x:v>LOCAL_ONLY</x:v>
      </x:c>
      <x:c r="B10" s="26" t="str">
        <x:v>仅本地存在，未进入远程权威</x:v>
      </x:c>
      <x:c r="C10" s="26" t="str">
        <x:v>明确保护/评审</x:v>
      </x:c>
    </x:row>
    <x:row r="11" ht="42" customHeight="1">
      <x:c r="A11" s="26" t="str">
        <x:v>ABSENT</x:v>
      </x:c>
      <x:c r="B11" s="26" t="str">
        <x:v>当前源码/运行证据没有该能力</x:v>
      </x:c>
      <x:c r="C11" s="26" t="str">
        <x:v>不得用计划替代</x:v>
      </x:c>
    </x:row>
    <x:row r="12" ht="42" customHeight="1">
      <x:c r="A12" s="26" t="str">
        <x:v>BLOCKED</x:v>
      </x:c>
      <x:c r="B12" s="26" t="str">
        <x:v>存在明确依赖或安全/权限/外部条件阻塞</x:v>
      </x:c>
      <x:c r="C12" s="26" t="str">
        <x:v>列出 owner 和解除条件</x:v>
      </x:c>
    </x:row>
    <x:row r="13" ht="42" customHeight="1">
      <x:c r="A13" s="26" t="str">
        <x:v>LIVE_UNVERIFIED</x:v>
      </x:c>
      <x:c r="B13" s="26" t="str">
        <x:v>服务或资源运行，但关键业务结果未证明</x:v>
      </x:c>
      <x:c r="C13" s="26" t="str">
        <x:v>HTTP 200 不够</x:v>
      </x:c>
    </x:row>
    <x:row r="14" ht="42" customHeight="1">
      <x:c r="A14" s="26" t="str">
        <x:v>RELEASED</x:v>
      </x:c>
      <x:c r="B14" s="26" t="str">
        <x:v>当前 SHA 的受控发布和回滚证据存在</x:v>
      </x:c>
      <x:c r="C14" s="26" t="str">
        <x:v>必须可追踪</x:v>
      </x:c>
    </x:row>
    <x:row r="15" ht="42" customHeight="1">
      <x:c r="A15" s="26" t="str">
        <x:v>OPERATING</x:v>
      </x:c>
      <x:c r="B15" s="26" t="str">
        <x:v>当前实际运行且可观测</x:v>
      </x:c>
      <x:c r="C15" s="26" t="str">
        <x:v>不代表所有调用者或业务完成</x:v>
      </x:c>
    </x:row>
    <x:row r="17" ht="44" customHeight="1">
      <x:c r="A17" s="29" t="str">
        <x:v>防伪：fixture ≠ production；HTTP 200 ≠ business success；registered ≠ healthy；missing ≠ 0；model output ≠ Evidence/Permission/Truth。</x:v>
      </x:c>
      <x:c r="B17" s="29"/>
      <x:c r="C17" s="29"/>
      <x:c r="D17" s="29"/>
    </x:row>
  </x:sheetData>
  <x:mergeCells>
    <x:mergeCell ref="A1:D1"/>
    <x:mergeCell ref="A2:D2"/>
    <x:mergeCell ref="A17:D17"/>
  </x:mergeCells>
  <x:pageMargins left="0.7" right="0.7" top="0.75" bottom="0.75" header="0.3" footer="0.3"/>
  <x:tableParts count="1">
    <x:tablePart xmlns:r="http://schemas.openxmlformats.org/officeDocument/2006/relationships" r:id="R180857476c2142ff"/>
  </x:tableParts>
</x:worksheet>
</file>